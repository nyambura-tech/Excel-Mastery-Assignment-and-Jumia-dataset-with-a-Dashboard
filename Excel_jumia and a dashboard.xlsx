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0.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1.xml" ContentType="application/vnd.openxmlformats-officedocument.spreadsheetml.pivotTable+xml"/>
  <Override PartName="/xl/drawings/drawing8.xml" ContentType="application/vnd.openxmlformats-officedocument.drawing+xml"/>
  <Override PartName="/xl/slicers/slicer1.xml" ContentType="application/vnd.ms-excel.slicer+xml"/>
  <Override PartName="/xl/drawings/drawing9.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HP\Documents\"/>
    </mc:Choice>
  </mc:AlternateContent>
  <xr:revisionPtr revIDLastSave="0" documentId="8_{E2E0CFB8-350C-4FE2-8C4E-371E3245D197}" xr6:coauthVersionLast="47" xr6:coauthVersionMax="47" xr10:uidLastSave="{00000000-0000-0000-0000-000000000000}"/>
  <bookViews>
    <workbookView xWindow="-108" yWindow="-108" windowWidth="23256" windowHeight="12456" firstSheet="9" activeTab="11" xr2:uid="{921A533C-717F-41C0-B3E3-89E3EC3DACF8}"/>
  </bookViews>
  <sheets>
    <sheet name="%discount and reviews" sheetId="2" r:id="rId1"/>
    <sheet name="rating and reviews" sheetId="3" r:id="rId2"/>
    <sheet name="top 10 highest discount" sheetId="4" r:id="rId3"/>
    <sheet name="top 10 most review" sheetId="5" r:id="rId4"/>
    <sheet name="high and low rated products" sheetId="6" r:id="rId5"/>
    <sheet name="comparisson average rating " sheetId="7" r:id="rId6"/>
    <sheet name="top 5 by % diccount" sheetId="10" r:id="rId7"/>
    <sheet name="top 5 by rating" sheetId="11" r:id="rId8"/>
    <sheet name="top product by reviews" sheetId="12" r:id="rId9"/>
    <sheet name="Breakdown of product by rating " sheetId="13" r:id="rId10"/>
    <sheet name="Sheet14" sheetId="15" r:id="rId11"/>
    <sheet name="Excel_jumia" sheetId="1" r:id="rId12"/>
    <sheet name="Dashboard" sheetId="9" r:id="rId13"/>
  </sheets>
  <definedNames>
    <definedName name="Slicer_Discount_category">#N/A</definedName>
    <definedName name="Slicer_Rating_category">#N/A</definedName>
  </definedNames>
  <calcPr calcId="191029"/>
  <pivotCaches>
    <pivotCache cacheId="60" r:id="rId14"/>
    <pivotCache cacheId="51" r:id="rId15"/>
  </pivotCaches>
  <extLs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2" i="1"/>
  <c r="G43" i="1"/>
  <c r="G55" i="1"/>
  <c r="G104" i="1"/>
  <c r="G28" i="1"/>
  <c r="G72" i="1"/>
  <c r="G109" i="1"/>
  <c r="G98" i="1"/>
  <c r="G29" i="1"/>
  <c r="G101" i="1"/>
  <c r="G99" i="1"/>
  <c r="G56" i="1"/>
  <c r="G19" i="1"/>
  <c r="G37" i="1"/>
  <c r="G38" i="1"/>
  <c r="G20" i="1"/>
  <c r="G103" i="1"/>
  <c r="G110" i="1"/>
  <c r="G30" i="1"/>
  <c r="G105" i="1"/>
  <c r="G31" i="1"/>
  <c r="G59" i="1"/>
  <c r="G63" i="1"/>
  <c r="G113" i="1"/>
  <c r="G90" i="1"/>
  <c r="G77" i="1"/>
  <c r="G78" i="1"/>
  <c r="G111" i="1"/>
  <c r="G112" i="1"/>
  <c r="G2" i="1"/>
  <c r="G44" i="1"/>
  <c r="G60" i="1"/>
  <c r="G3" i="1"/>
  <c r="G52" i="1"/>
  <c r="G32" i="1"/>
  <c r="G6" i="1"/>
  <c r="G33" i="1"/>
  <c r="G34" i="1"/>
  <c r="G45" i="1"/>
  <c r="G13" i="1"/>
  <c r="G46" i="1"/>
  <c r="G23" i="1"/>
  <c r="G24" i="1"/>
  <c r="G94" i="1"/>
  <c r="G87" i="1"/>
  <c r="G5" i="1"/>
  <c r="G40" i="1"/>
  <c r="G70" i="1"/>
  <c r="G75" i="1"/>
  <c r="G76" i="1"/>
  <c r="G88" i="1"/>
  <c r="G89" i="1"/>
  <c r="G96" i="1"/>
  <c r="G22" i="1"/>
  <c r="G73" i="1"/>
  <c r="G66" i="1"/>
  <c r="G57" i="1"/>
  <c r="G91" i="1"/>
  <c r="G8" i="1"/>
  <c r="G12" i="1"/>
  <c r="G35" i="1"/>
  <c r="G85" i="1"/>
  <c r="G84" i="1"/>
  <c r="G64" i="1"/>
  <c r="G10" i="1"/>
  <c r="G61" i="1"/>
  <c r="G67" i="1"/>
  <c r="G79" i="1"/>
  <c r="G39" i="1"/>
  <c r="G95" i="1"/>
  <c r="G82" i="1"/>
  <c r="G102" i="1"/>
  <c r="G71" i="1"/>
  <c r="G74" i="1"/>
  <c r="G25" i="1"/>
  <c r="G51" i="1"/>
  <c r="G97" i="1"/>
  <c r="G81" i="1"/>
  <c r="G9" i="1"/>
  <c r="G7" i="1"/>
  <c r="G65" i="1"/>
  <c r="G83" i="1"/>
  <c r="G54" i="1"/>
  <c r="G47" i="1"/>
  <c r="G92" i="1"/>
  <c r="G21" i="1"/>
  <c r="G11" i="1"/>
  <c r="G49" i="1"/>
  <c r="G100" i="1"/>
  <c r="G14" i="1"/>
  <c r="G53" i="1"/>
  <c r="G50" i="1"/>
  <c r="G42" i="1"/>
  <c r="G4" i="1"/>
  <c r="G41" i="1"/>
  <c r="G15" i="1"/>
  <c r="I105" i="1"/>
  <c r="I31" i="1"/>
  <c r="I59" i="1"/>
  <c r="I94" i="1"/>
  <c r="I63" i="1"/>
  <c r="I113" i="1"/>
  <c r="I90" i="1"/>
  <c r="I77" i="1"/>
  <c r="I78" i="1"/>
  <c r="I111" i="1"/>
  <c r="I112" i="1"/>
  <c r="I2" i="1"/>
  <c r="I15" i="1"/>
  <c r="I44" i="1"/>
  <c r="I60" i="1"/>
  <c r="I3" i="1"/>
  <c r="I52" i="1"/>
  <c r="I32" i="1"/>
  <c r="I6" i="1"/>
  <c r="I33" i="1"/>
  <c r="I34" i="1"/>
  <c r="I45" i="1"/>
  <c r="I53" i="1"/>
  <c r="I54" i="1"/>
  <c r="I42" i="1"/>
  <c r="I41" i="1"/>
  <c r="I43" i="1"/>
  <c r="I55" i="1"/>
  <c r="I104" i="1"/>
  <c r="I28" i="1"/>
  <c r="I47" i="1"/>
  <c r="I24" i="1"/>
  <c r="I72" i="1"/>
  <c r="I109" i="1"/>
  <c r="I25" i="1"/>
  <c r="I98" i="1"/>
  <c r="I29" i="1"/>
  <c r="I101" i="1"/>
  <c r="I99" i="1"/>
  <c r="I56" i="1"/>
  <c r="I19" i="1"/>
  <c r="I37" i="1"/>
  <c r="I38" i="1"/>
  <c r="I20" i="1"/>
  <c r="I103" i="1"/>
  <c r="I110" i="1"/>
  <c r="I30" i="1"/>
  <c r="I95" i="1"/>
  <c r="I75" i="1"/>
  <c r="I40" i="1"/>
  <c r="I57" i="1"/>
  <c r="I79" i="1"/>
  <c r="I13" i="1"/>
  <c r="I46" i="1"/>
  <c r="I23" i="1"/>
  <c r="I96" i="1"/>
  <c r="I22" i="1"/>
  <c r="I9" i="1"/>
  <c r="I58" i="1"/>
  <c r="I74" i="1"/>
  <c r="I91" i="1"/>
  <c r="I8" i="1"/>
  <c r="I73" i="1"/>
  <c r="I97" i="1"/>
  <c r="I81" i="1"/>
  <c r="I82" i="1"/>
  <c r="I48" i="1"/>
  <c r="I12" i="1"/>
  <c r="I76" i="1"/>
  <c r="I35" i="1"/>
  <c r="I85" i="1"/>
  <c r="I84" i="1"/>
  <c r="I64" i="1"/>
  <c r="I10" i="1"/>
  <c r="I61" i="1"/>
  <c r="I67" i="1"/>
  <c r="I68" i="1"/>
  <c r="I26" i="1"/>
  <c r="I16" i="1"/>
  <c r="I107" i="1"/>
  <c r="I17" i="1"/>
  <c r="I80" i="1"/>
  <c r="I27" i="1"/>
  <c r="I69" i="1"/>
  <c r="I18" i="1"/>
  <c r="I108" i="1"/>
  <c r="I93" i="1"/>
  <c r="I106" i="1"/>
  <c r="I62" i="1"/>
  <c r="I36" i="1"/>
  <c r="I86" i="1"/>
  <c r="I100" i="1"/>
  <c r="I7" i="1"/>
  <c r="I4" i="1"/>
  <c r="I21" i="1"/>
  <c r="I11" i="1"/>
  <c r="I92" i="1"/>
  <c r="I50" i="1"/>
  <c r="I14" i="1"/>
  <c r="I65" i="1"/>
  <c r="I49" i="1"/>
  <c r="I83" i="1"/>
  <c r="I39" i="1"/>
  <c r="I88" i="1"/>
  <c r="I70" i="1"/>
  <c r="I87" i="1"/>
  <c r="I102" i="1"/>
  <c r="I89" i="1"/>
  <c r="I71" i="1"/>
  <c r="I5" i="1"/>
  <c r="I51" i="1"/>
  <c r="I66" i="1"/>
  <c r="G58" i="1"/>
  <c r="G48" i="1"/>
  <c r="G68" i="1"/>
  <c r="G26" i="1"/>
  <c r="G16" i="1"/>
  <c r="G107" i="1"/>
  <c r="G17" i="1"/>
  <c r="G80" i="1"/>
  <c r="G27" i="1"/>
  <c r="G69" i="1"/>
  <c r="G18" i="1"/>
  <c r="G108" i="1"/>
  <c r="G93" i="1"/>
  <c r="G106" i="1"/>
  <c r="G62" i="1"/>
  <c r="G36" i="1"/>
  <c r="G86" i="1"/>
</calcChain>
</file>

<file path=xl/sharedStrings.xml><?xml version="1.0" encoding="utf-8"?>
<sst xmlns="http://schemas.openxmlformats.org/spreadsheetml/2006/main" count="589" uniqueCount="147">
  <si>
    <t>Product</t>
  </si>
  <si>
    <t>Current price</t>
  </si>
  <si>
    <t>old price</t>
  </si>
  <si>
    <t>Discount</t>
  </si>
  <si>
    <t>Review</t>
  </si>
  <si>
    <t>115  Piece Set Of Multifunctional Precision Screwdrivers</t>
  </si>
  <si>
    <t>Metal Decorative Hooks Key Hangers Entryway Wall Hooks Towel Hooks - Home</t>
  </si>
  <si>
    <t>Portable Mini Cordless Car Vacuum Cleaner - Blue</t>
  </si>
  <si>
    <t>Weighing Scale Digital Bathroom Body Fat Scale USB-Black</t>
  </si>
  <si>
    <t>Portable Home Small Air Humidifier 3-Speed Fan - Green</t>
  </si>
  <si>
    <t>220V 60W Electric Soldering Iron Kits With Tools, Tips, And Multimeter</t>
  </si>
  <si>
    <t>137 Pieces Cake Decorating Tool Set Baking Supplies</t>
  </si>
  <si>
    <t>Desk Foldable Fan Adjustable Fan Strong Wind 3 Gear Usb</t>
  </si>
  <si>
    <t>LASA FOLDING TABLE SERVING STAND</t>
  </si>
  <si>
    <t>13 In 1 Home Repair Tools Box Kit Set</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</si>
  <si>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</si>
  <si>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</si>
  <si>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</si>
  <si>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</si>
  <si>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</si>
  <si>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Anti-Skid Absorbent Insulation Coaster  For Home Office</t>
  </si>
  <si>
    <t>Peacock  Throw Pillow Cushion Case For Home Car</t>
  </si>
  <si>
    <t>LASA Aluminum Folding Truck Hand Cart - 68kg Max</t>
  </si>
  <si>
    <t>LED Wall Digital Alarm Clock Study Home 12 / 24H Clock Calendar</t>
  </si>
  <si>
    <t>3D Waterproof EVA Plastic Shower Curtain 1.8*2Mtrs</t>
  </si>
  <si>
    <t>3PCS Single Head Knitting Crochet Sweater Needle Set</t>
  </si>
  <si>
    <t>4pcs Bathroom/Kitchen Towel Rack,Roll Paper Holder,Towel Bars,Hook</t>
  </si>
  <si>
    <t>LED Romantic Spaceship Starry Sky Projector,Children's Bedroom Night Light-Blue</t>
  </si>
  <si>
    <t>Foldable Overbed Table/Desk</t>
  </si>
  <si>
    <t>LASA 3 Tier Bamboo Shoe Bench Storage Shelf</t>
  </si>
  <si>
    <t>Electronic Digital Display Vernier Caliper</t>
  </si>
  <si>
    <t>Portable Wardrobe Nonwoven With 3 Hanging Rods And 6 Storage Shelves</t>
  </si>
  <si>
    <t>12 Litre Black Insulated Lunch Box</t>
  </si>
  <si>
    <t>52 Pieces Cake Decorating Tool Set Gift Kit Baking Supplies</t>
  </si>
  <si>
    <t>Exfoliate And Exfoliate Face Towel - Black</t>
  </si>
  <si>
    <t>12 Litre Insulated Lunch Box Grey</t>
  </si>
  <si>
    <t>LED Eye Protection  Desk Lamp , Study, Reading, USB Fan - Double Pen Holder</t>
  </si>
  <si>
    <t>53Pcs/Set Yarn Knitting Crochet Hooks With Bag - Fortune Cat</t>
  </si>
  <si>
    <t>53 Pieces/Set Yarn Knitting Crochet Hooks With Bag - Pansies</t>
  </si>
  <si>
    <t>DIY File Folder, Office Drawer File Holder, Pen Holder, Desktop Storage Rack</t>
  </si>
  <si>
    <t>Classic Black Cat Cotton Hemp Pillow Case For Home Car</t>
  </si>
  <si>
    <t>Punch-free Great Load Bearing Bathroom Storage Rack Wall Shelf-White</t>
  </si>
  <si>
    <t>1/2/3 Seater Elastic Sofa Cover,Living Room/Home Decor Chair Cover-Grey</t>
  </si>
  <si>
    <t>LASA Stainless Steel Double Wall Mount Soap Dispenser - 500ml</t>
  </si>
  <si>
    <t>4M Float Switch Water Level Controller -Water Tank</t>
  </si>
  <si>
    <t>Modern Sofa Throw Pillow Cover-45x45cm-Blue&amp;Red</t>
  </si>
  <si>
    <t>Balloon Insert, Birthday Party Balloon Set, PU Leather</t>
  </si>
  <si>
    <t>Shower Cap Wide Elastic Band Cover Reusable Bashroom Cap</t>
  </si>
  <si>
    <t>Christmas Elk Fence Yard Lawn Decorations Cute For Holidays</t>
  </si>
  <si>
    <t>60W Hot Melt Glue Sprayer - Efficient And Stable Glue Dispensing</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</si>
  <si>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</si>
  <si>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</si>
  <si>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</si>
  <si>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</si>
  <si>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</si>
  <si>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</si>
  <si>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Multi-purpose Rice Drainage Basket And Fruit And Vegetable Drainage Sieve</t>
  </si>
  <si>
    <t>Cute Christmas Fence Garden Decorations For Holiday Home</t>
  </si>
  <si>
    <t>Simple Metal Dog Art Sculpture Decoration For Home Office</t>
  </si>
  <si>
    <t>Christmas Fence Garden Decorations Outdoor For Holiday Home</t>
  </si>
  <si>
    <t>Angle Measuring Tool Full Metal Multi Angle Measuring Tool</t>
  </si>
  <si>
    <t>12V 19500rpm Handheld Electric Angle Grinder Tool - UK - Yellow/Black</t>
  </si>
  <si>
    <t>5 Pieces/set Of Stainless Steel Induction Cooker Pots</t>
  </si>
  <si>
    <t>Mythco 120COB Solar Wall Ligt With Motion Sensor And Remote Control 3 Modes</t>
  </si>
  <si>
    <t>5-PCS Stainless Steel Cooking Pot Set With Steamed Slices</t>
  </si>
  <si>
    <t>120W Cordless Vacuum Cleaners Handheld Electric Vacuum Cleaner</t>
  </si>
  <si>
    <t>Intelligent  LED Body Sensor Wireless Lighting Night Light USB</t>
  </si>
  <si>
    <t>VIC Wireless Vacuum Cleaner Dual Use For Home And Car 120W High Power Powerful</t>
  </si>
  <si>
    <t>Artificial Potted Flowers Room Decorative Flowers (2 Pieces)</t>
  </si>
  <si>
    <t>380ML USB Rechargeable Portable Small Blenders And Juicers</t>
  </si>
  <si>
    <t>32PCS Portable Cordless Drill Set With Cyclic Battery Drive -26 Variable Speed</t>
  </si>
  <si>
    <t>Agapeon Toothbrush Holder And Toothpaste Dispenser</t>
  </si>
  <si>
    <t>Large Lazy Inflatable Sofa Chairs PVC Lounger Seat Bag</t>
  </si>
  <si>
    <t>Watercolour Gold Foil Textured Print Pillow Cover</t>
  </si>
  <si>
    <t>Wrought Iron Bathroom Shelf Wall Mounted Free Punch Toilet Rack</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</si>
  <si>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</si>
  <si>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</si>
  <si>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</si>
  <si>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</si>
  <si>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</si>
  <si>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</si>
  <si>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Memory Foam Neck Pillow Cover, With Pillow Core - 50*30cm</t>
  </si>
  <si>
    <t>Bedroom Simple Floor Hanging Clothes Rack Single Pole Hat Rack - White</t>
  </si>
  <si>
    <t>5m Waterproof Spherical LED String Lights Outdoor Ball Chain Lights Party Lighting Decoration Adjustable</t>
  </si>
  <si>
    <t>2 Pairs Cowhide Split Leather Work Gloves.32â„‰ Or Above Welding Gloves</t>
  </si>
  <si>
    <t>Household Pineapple Peeler Peeler</t>
  </si>
  <si>
    <t>Office Chair Lumbar Back Support Spine Posture Correction Pillow Car Cushion</t>
  </si>
  <si>
    <t>Cartoon Car Decoration Cute Individuality For Car Home Desk</t>
  </si>
  <si>
    <t>Outdoor Portable Water Bottle With Medicine Box - 600ML - Black</t>
  </si>
  <si>
    <t>Wall-Mounted Toothbrush Toothpaste Holder With Multiple Slots</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</si>
  <si>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</si>
  <si>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</si>
  <si>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</si>
  <si>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</si>
  <si>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</si>
  <si>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2PCS Ice Silk Square Cushion Cover Pillowcases - 65x65cm</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</si>
  <si>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</si>
  <si>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</si>
  <si>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</si>
  <si>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</si>
  <si>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</si>
  <si>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</si>
  <si>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</si>
  <si>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</si>
  <si>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</si>
  <si>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</si>
  <si>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</si>
  <si>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</si>
  <si>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</si>
  <si>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</si>
  <si>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</si>
  <si>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Wall-mounted Sticker Punch-free Plug Fixer</t>
  </si>
  <si>
    <t>Black Simple Water Cup Wine Coaster Anti Slip Absorbent</t>
  </si>
  <si>
    <t>Rating</t>
  </si>
  <si>
    <t>MultiFunctional Storage Rack Multi-layer Booelf</t>
  </si>
  <si>
    <t>N/A</t>
  </si>
  <si>
    <t>Discount amount(ksh)</t>
  </si>
  <si>
    <t>Rating category</t>
  </si>
  <si>
    <t>Discount category</t>
  </si>
  <si>
    <t>Sum of Discount</t>
  </si>
  <si>
    <t>Sum of Review</t>
  </si>
  <si>
    <t>Row Labels</t>
  </si>
  <si>
    <t>Grand Total</t>
  </si>
  <si>
    <t>(All)</t>
  </si>
  <si>
    <t>Count of Rating</t>
  </si>
  <si>
    <t>the higher the discount the more dicount the higher the engagement</t>
  </si>
  <si>
    <t>the higher the rating the more the reviews</t>
  </si>
  <si>
    <t>Sum of Discount amount(ksh)</t>
  </si>
  <si>
    <t>Average of Rating</t>
  </si>
  <si>
    <t>Values</t>
  </si>
  <si>
    <t>0.02-0.07</t>
  </si>
  <si>
    <t>0.07-0.12</t>
  </si>
  <si>
    <t>0.12-0.17</t>
  </si>
  <si>
    <t>0.17-0.22</t>
  </si>
  <si>
    <t>0.22-0.27</t>
  </si>
  <si>
    <t>0.27-0.32</t>
  </si>
  <si>
    <t>0.32-0.37</t>
  </si>
  <si>
    <t>0.37-0.42</t>
  </si>
  <si>
    <t>0.42-0.47</t>
  </si>
  <si>
    <t>0.47-0.52</t>
  </si>
  <si>
    <t>0.52-0.57</t>
  </si>
  <si>
    <t>0.57-0.62</t>
  </si>
  <si>
    <t>0.62-0.67</t>
  </si>
  <si>
    <t>LOW DISCOUNT</t>
  </si>
  <si>
    <t>Count of Product</t>
  </si>
  <si>
    <t>excellent</t>
  </si>
  <si>
    <t>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</si>
</sst>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Ksh-441]#,##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9" fontId="0" fillId="0" borderId="0" xfId="0" applyNumberFormat="1"/>
    <xf numFmtId="0" fontId="16" fillId="0" borderId="0" xfId="0" applyFont="1"/>
    <xf numFmtId="2" fontId="16" fillId="0" borderId="0" xfId="0" applyNumberFormat="1" applyFont="1"/>
    <xf numFmtId="2" fontId="0" fillId="0" borderId="0" xfId="0" applyNumberFormat="1"/>
    <xf numFmtId="165" fontId="16" fillId="0" borderId="0" xfId="0" applyNumberFormat="1" applyFont="1"/>
    <xf numFmtId="165" fontId="0" fillId="0" borderId="0" xfId="0" applyNumberFormat="1"/>
    <xf numFmtId="0" fontId="0" fillId="0" borderId="0" xfId="0" applyNumberFormat="1"/>
    <xf numFmtId="0" fontId="0" fillId="0" borderId="0" xfId="0" pivotButton="1"/>
    <xf numFmtId="9" fontId="0" fillId="0" borderId="0" xfId="0" applyNumberFormat="1" applyAlignment="1">
      <alignment horizontal="left"/>
    </xf>
    <xf numFmtId="0" fontId="0" fillId="0" borderId="0" xfId="0" applyAlignment="1">
      <alignment horizontal="left"/>
    </xf>
    <xf numFmtId="165" fontId="0" fillId="33" borderId="0" xfId="0" applyNumberFormat="1" applyFill="1"/>
    <xf numFmtId="0" fontId="0" fillId="33" borderId="0" xfId="0" applyNumberFormat="1" applyFill="1"/>
    <xf numFmtId="0" fontId="0" fillId="34" borderId="0" xfId="0" applyNumberFormat="1" applyFill="1"/>
    <xf numFmtId="0" fontId="0" fillId="35"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font>
        <color rgb="FF9C0006"/>
      </font>
      <fill>
        <patternFill>
          <bgColor rgb="FFFFC7CE"/>
        </patternFill>
      </fill>
    </dxf>
    <dxf>
      <fill>
        <patternFill patternType="solid">
          <bgColor theme="9"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and a dashboard.xlsx]%discount and reviews!PivotTable4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Relationship between %discount and N.o</a:t>
            </a:r>
            <a:r>
              <a:rPr lang="en-US" baseline="0"/>
              <a:t> of review</a:t>
            </a:r>
            <a:endParaRPr lang="en-US"/>
          </a:p>
        </c:rich>
      </c:tx>
      <c:layout>
        <c:manualLayout>
          <c:xMode val="edge"/>
          <c:yMode val="edge"/>
          <c:x val="0.19218744531933507"/>
          <c:y val="0.11934966462525518"/>
        </c:manualLayout>
      </c:layout>
      <c:overlay val="0"/>
      <c:spPr>
        <a:solidFill>
          <a:schemeClr val="accent6">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'%discount and reviews'!$B$3</c:f>
              <c:strCache>
                <c:ptCount val="1"/>
                <c:pt idx="0">
                  <c:v>Total</c:v>
                </c:pt>
              </c:strCache>
            </c:strRef>
          </c:tx>
          <c:spPr>
            <a:ln w="28575" cap="rnd">
              <a:solidFill>
                <a:schemeClr val="accent1"/>
              </a:solidFill>
              <a:round/>
            </a:ln>
            <a:effectLst/>
          </c:spPr>
          <c:marker>
            <c:symbol val="none"/>
          </c:marker>
          <c:cat>
            <c:strRef>
              <c:f>'%discount and reviews'!$A$4:$A$17</c:f>
              <c:strCache>
                <c:ptCount val="13"/>
                <c:pt idx="0">
                  <c:v>0.02-0.07</c:v>
                </c:pt>
                <c:pt idx="1">
                  <c:v>0.07-0.12</c:v>
                </c:pt>
                <c:pt idx="2">
                  <c:v>0.12-0.17</c:v>
                </c:pt>
                <c:pt idx="3">
                  <c:v>0.17-0.22</c:v>
                </c:pt>
                <c:pt idx="4">
                  <c:v>0.22-0.27</c:v>
                </c:pt>
                <c:pt idx="5">
                  <c:v>0.27-0.32</c:v>
                </c:pt>
                <c:pt idx="6">
                  <c:v>0.32-0.37</c:v>
                </c:pt>
                <c:pt idx="7">
                  <c:v>0.37-0.42</c:v>
                </c:pt>
                <c:pt idx="8">
                  <c:v>0.42-0.47</c:v>
                </c:pt>
                <c:pt idx="9">
                  <c:v>0.47-0.52</c:v>
                </c:pt>
                <c:pt idx="10">
                  <c:v>0.52-0.57</c:v>
                </c:pt>
                <c:pt idx="11">
                  <c:v>0.57-0.62</c:v>
                </c:pt>
                <c:pt idx="12">
                  <c:v>0.62-0.67</c:v>
                </c:pt>
              </c:strCache>
            </c:strRef>
          </c:cat>
          <c:val>
            <c:numRef>
              <c:f>'%discount and reviews'!$B$4:$B$17</c:f>
              <c:numCache>
                <c:formatCode>General</c:formatCode>
                <c:ptCount val="13"/>
                <c:pt idx="0">
                  <c:v>0</c:v>
                </c:pt>
                <c:pt idx="1">
                  <c:v>15</c:v>
                </c:pt>
                <c:pt idx="2">
                  <c:v>6</c:v>
                </c:pt>
                <c:pt idx="3">
                  <c:v>30</c:v>
                </c:pt>
                <c:pt idx="4">
                  <c:v>114</c:v>
                </c:pt>
                <c:pt idx="5">
                  <c:v>77</c:v>
                </c:pt>
                <c:pt idx="6">
                  <c:v>128</c:v>
                </c:pt>
                <c:pt idx="7">
                  <c:v>55</c:v>
                </c:pt>
                <c:pt idx="8">
                  <c:v>48</c:v>
                </c:pt>
                <c:pt idx="9">
                  <c:v>176</c:v>
                </c:pt>
                <c:pt idx="10">
                  <c:v>74</c:v>
                </c:pt>
                <c:pt idx="11">
                  <c:v>0</c:v>
                </c:pt>
                <c:pt idx="12">
                  <c:v>0</c:v>
                </c:pt>
              </c:numCache>
            </c:numRef>
          </c:val>
          <c:smooth val="0"/>
          <c:extLst>
            <c:ext xmlns:c16="http://schemas.microsoft.com/office/drawing/2014/chart" uri="{C3380CC4-5D6E-409C-BE32-E72D297353CC}">
              <c16:uniqueId val="{00000000-9CD1-40B2-80F7-A2CD2DCE76A6}"/>
            </c:ext>
          </c:extLst>
        </c:ser>
        <c:dLbls>
          <c:showLegendKey val="0"/>
          <c:showVal val="0"/>
          <c:showCatName val="0"/>
          <c:showSerName val="0"/>
          <c:showPercent val="0"/>
          <c:showBubbleSize val="0"/>
        </c:dLbls>
        <c:smooth val="0"/>
        <c:axId val="962417824"/>
        <c:axId val="962416384"/>
      </c:lineChart>
      <c:catAx>
        <c:axId val="96241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416384"/>
        <c:crosses val="autoZero"/>
        <c:auto val="1"/>
        <c:lblAlgn val="ctr"/>
        <c:lblOffset val="100"/>
        <c:noMultiLvlLbl val="0"/>
      </c:catAx>
      <c:valAx>
        <c:axId val="962416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417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and a dashboard.xlsx]rating and reviews!PivotTable5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Relationship between rating and No. of reviews</a:t>
            </a:r>
          </a:p>
        </c:rich>
      </c:tx>
      <c:overlay val="0"/>
      <c:spPr>
        <a:solidFill>
          <a:schemeClr val="accent1">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'rating and reviews'!$B$3</c:f>
              <c:strCache>
                <c:ptCount val="1"/>
                <c:pt idx="0">
                  <c:v>Total</c:v>
                </c:pt>
              </c:strCache>
            </c:strRef>
          </c:tx>
          <c:spPr>
            <a:solidFill>
              <a:schemeClr val="accent1"/>
            </a:solidFill>
            <a:ln>
              <a:noFill/>
            </a:ln>
            <a:effectLst/>
            <a:sp3d/>
          </c:spPr>
          <c:invertIfNegative val="0"/>
          <c:cat>
            <c:strRef>
              <c:f>'rating and reviews'!$A$4:$A$26</c:f>
              <c:strCache>
                <c:ptCount val="22"/>
                <c:pt idx="0">
                  <c:v>2</c:v>
                </c:pt>
                <c:pt idx="1">
                  <c:v>2.1</c:v>
                </c:pt>
                <c:pt idx="2">
                  <c:v>2.2</c:v>
                </c:pt>
                <c:pt idx="3">
                  <c:v>2.3</c:v>
                </c:pt>
                <c:pt idx="4">
                  <c:v>2.5</c:v>
                </c:pt>
                <c:pt idx="5">
                  <c:v>2.6</c:v>
                </c:pt>
                <c:pt idx="6">
                  <c:v>2.7</c:v>
                </c:pt>
                <c:pt idx="7">
                  <c:v>2.8</c:v>
                </c:pt>
                <c:pt idx="8">
                  <c:v>2.9</c:v>
                </c:pt>
                <c:pt idx="9">
                  <c:v>3</c:v>
                </c:pt>
                <c:pt idx="10">
                  <c:v>3.3</c:v>
                </c:pt>
                <c:pt idx="11">
                  <c:v>3.8</c:v>
                </c:pt>
                <c:pt idx="12">
                  <c:v>4</c:v>
                </c:pt>
                <c:pt idx="13">
                  <c:v>4.1</c:v>
                </c:pt>
                <c:pt idx="14">
                  <c:v>4.2</c:v>
                </c:pt>
                <c:pt idx="15">
                  <c:v>4.3</c:v>
                </c:pt>
                <c:pt idx="16">
                  <c:v>4.4</c:v>
                </c:pt>
                <c:pt idx="17">
                  <c:v>4.5</c:v>
                </c:pt>
                <c:pt idx="18">
                  <c:v>4.6</c:v>
                </c:pt>
                <c:pt idx="19">
                  <c:v>4.7</c:v>
                </c:pt>
                <c:pt idx="20">
                  <c:v>4.8</c:v>
                </c:pt>
                <c:pt idx="21">
                  <c:v>5</c:v>
                </c:pt>
              </c:strCache>
            </c:strRef>
          </c:cat>
          <c:val>
            <c:numRef>
              <c:f>'rating and reviews'!$B$4:$B$26</c:f>
              <c:numCache>
                <c:formatCode>General</c:formatCode>
                <c:ptCount val="22"/>
                <c:pt idx="0">
                  <c:v>1</c:v>
                </c:pt>
                <c:pt idx="1">
                  <c:v>20</c:v>
                </c:pt>
                <c:pt idx="2">
                  <c:v>12</c:v>
                </c:pt>
                <c:pt idx="3">
                  <c:v>13</c:v>
                </c:pt>
                <c:pt idx="4">
                  <c:v>6</c:v>
                </c:pt>
                <c:pt idx="5">
                  <c:v>17</c:v>
                </c:pt>
                <c:pt idx="6">
                  <c:v>15</c:v>
                </c:pt>
                <c:pt idx="7">
                  <c:v>69</c:v>
                </c:pt>
                <c:pt idx="8">
                  <c:v>16</c:v>
                </c:pt>
                <c:pt idx="9">
                  <c:v>26</c:v>
                </c:pt>
                <c:pt idx="10">
                  <c:v>13</c:v>
                </c:pt>
                <c:pt idx="11">
                  <c:v>30</c:v>
                </c:pt>
                <c:pt idx="12">
                  <c:v>24</c:v>
                </c:pt>
                <c:pt idx="13">
                  <c:v>46</c:v>
                </c:pt>
                <c:pt idx="14">
                  <c:v>9</c:v>
                </c:pt>
                <c:pt idx="15">
                  <c:v>118</c:v>
                </c:pt>
                <c:pt idx="16">
                  <c:v>14</c:v>
                </c:pt>
                <c:pt idx="17">
                  <c:v>8</c:v>
                </c:pt>
                <c:pt idx="18">
                  <c:v>177</c:v>
                </c:pt>
                <c:pt idx="19">
                  <c:v>58</c:v>
                </c:pt>
                <c:pt idx="20">
                  <c:v>22</c:v>
                </c:pt>
                <c:pt idx="21">
                  <c:v>9</c:v>
                </c:pt>
              </c:numCache>
            </c:numRef>
          </c:val>
          <c:extLst>
            <c:ext xmlns:c16="http://schemas.microsoft.com/office/drawing/2014/chart" uri="{C3380CC4-5D6E-409C-BE32-E72D297353CC}">
              <c16:uniqueId val="{00000000-8AD2-4F25-87A6-6D8BB8EBC586}"/>
            </c:ext>
          </c:extLst>
        </c:ser>
        <c:dLbls>
          <c:showLegendKey val="0"/>
          <c:showVal val="0"/>
          <c:showCatName val="0"/>
          <c:showSerName val="0"/>
          <c:showPercent val="0"/>
          <c:showBubbleSize val="0"/>
        </c:dLbls>
        <c:gapWidth val="150"/>
        <c:shape val="box"/>
        <c:axId val="1715422016"/>
        <c:axId val="1715422496"/>
        <c:axId val="0"/>
      </c:bar3DChart>
      <c:catAx>
        <c:axId val="17154220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422496"/>
        <c:crosses val="autoZero"/>
        <c:auto val="1"/>
        <c:lblAlgn val="ctr"/>
        <c:lblOffset val="100"/>
        <c:noMultiLvlLbl val="0"/>
      </c:catAx>
      <c:valAx>
        <c:axId val="1715422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422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and a dashboard.xlsx]comparisson average rating !PivotTable9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comparrison between average rating and N.o of reviews</a:t>
            </a:r>
          </a:p>
        </c:rich>
      </c:tx>
      <c:layout>
        <c:manualLayout>
          <c:xMode val="edge"/>
          <c:yMode val="edge"/>
          <c:x val="8.8513779527559039E-2"/>
          <c:y val="0.22944006999125111"/>
        </c:manualLayout>
      </c:layout>
      <c:overlay val="0"/>
      <c:spPr>
        <a:solidFill>
          <a:schemeClr val="accent1">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'comparisson average rating '!$B$3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'comparisson average rating '!$A$4:$A$5</c:f>
              <c:strCache>
                <c:ptCount val="2"/>
                <c:pt idx="0">
                  <c:v>Average of Rating</c:v>
                </c:pt>
                <c:pt idx="1">
                  <c:v>Sum of Review</c:v>
                </c:pt>
              </c:strCache>
            </c:strRef>
          </c:cat>
          <c:val>
            <c:numRef>
              <c:f>'comparisson average rating '!$B$4:$B$5</c:f>
              <c:numCache>
                <c:formatCode>General</c:formatCode>
                <c:ptCount val="2"/>
                <c:pt idx="0">
                  <c:v>3.8</c:v>
                </c:pt>
                <c:pt idx="1">
                  <c:v>50</c:v>
                </c:pt>
              </c:numCache>
            </c:numRef>
          </c:val>
          <c:extLst>
            <c:ext xmlns:c16="http://schemas.microsoft.com/office/drawing/2014/chart" uri="{C3380CC4-5D6E-409C-BE32-E72D297353CC}">
              <c16:uniqueId val="{00000000-DD95-4CAB-9F1A-E4C61AAB774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and a dashboard.xlsx]top 5 by % diccount!PivotTable10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product by discount % </a:t>
            </a:r>
          </a:p>
        </c:rich>
      </c:tx>
      <c:overlay val="0"/>
      <c:spPr>
        <a:solidFill>
          <a:schemeClr val="accent5">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by % diccount'!$B$3</c:f>
              <c:strCache>
                <c:ptCount val="1"/>
                <c:pt idx="0">
                  <c:v>Total</c:v>
                </c:pt>
              </c:strCache>
            </c:strRef>
          </c:tx>
          <c:spPr>
            <a:solidFill>
              <a:schemeClr val="accent1"/>
            </a:solidFill>
            <a:ln>
              <a:noFill/>
            </a:ln>
            <a:effectLst/>
          </c:spPr>
          <c:invertIfNegative val="0"/>
          <c:cat>
            <c:strRef>
              <c:f>'top 5 by % diccount'!$A$4:$A$9</c:f>
              <c:strCache>
                <c:ptCount val="5"/>
                <c:pt idx="0">
                  <c:v>LED Wall Digital Alarm Clock Study Home 12 / 24H Clock Calendar</c:v>
                </c:pt>
                <c:pt idx="1">
                  <c:v>Wall-Mounted Toothbrush Toothpaste Holder With Multiple Slots</c:v>
                </c:pt>
                <c:pt idx="2">
                  <c:v>Office Chair Lumbar Back Support Spine Posture Correction Pillow Car Cushion</c:v>
                </c:pt>
                <c:pt idx="3">
                  <c:v>Outdoor Portable Water Bottle With Medicine Box - 600ML - Black</c:v>
                </c:pt>
                <c:pt idx="4">
                  <c:v>Wall Mount Automatic Toothpaste Dispenser Toothbrush Holder Toothpaste Squeezer</c:v>
                </c:pt>
              </c:strCache>
            </c:strRef>
          </c:cat>
          <c:val>
            <c:numRef>
              <c:f>'top 5 by % diccount'!$B$4:$B$9</c:f>
              <c:numCache>
                <c:formatCode>0%</c:formatCode>
                <c:ptCount val="5"/>
                <c:pt idx="0">
                  <c:v>0.19</c:v>
                </c:pt>
                <c:pt idx="1">
                  <c:v>0.14000000000000001</c:v>
                </c:pt>
                <c:pt idx="2">
                  <c:v>0.14000000000000001</c:v>
                </c:pt>
                <c:pt idx="3">
                  <c:v>0.11</c:v>
                </c:pt>
                <c:pt idx="4">
                  <c:v>0.08</c:v>
                </c:pt>
              </c:numCache>
            </c:numRef>
          </c:val>
          <c:extLst>
            <c:ext xmlns:c16="http://schemas.microsoft.com/office/drawing/2014/chart" uri="{C3380CC4-5D6E-409C-BE32-E72D297353CC}">
              <c16:uniqueId val="{00000000-7AB5-41B6-B703-35BCC53A17FB}"/>
            </c:ext>
          </c:extLst>
        </c:ser>
        <c:dLbls>
          <c:showLegendKey val="0"/>
          <c:showVal val="0"/>
          <c:showCatName val="0"/>
          <c:showSerName val="0"/>
          <c:showPercent val="0"/>
          <c:showBubbleSize val="0"/>
        </c:dLbls>
        <c:gapWidth val="182"/>
        <c:axId val="962435104"/>
        <c:axId val="962435584"/>
      </c:barChart>
      <c:catAx>
        <c:axId val="962435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435584"/>
        <c:crosses val="autoZero"/>
        <c:auto val="1"/>
        <c:lblAlgn val="ctr"/>
        <c:lblOffset val="100"/>
        <c:noMultiLvlLbl val="0"/>
      </c:catAx>
      <c:valAx>
        <c:axId val="96243558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435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and a dashboard.xlsx]top 5 by rating!PivotTable11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highest rated products</a:t>
            </a:r>
            <a:endParaRPr lang="en-US"/>
          </a:p>
        </c:rich>
      </c:tx>
      <c:layout>
        <c:manualLayout>
          <c:xMode val="edge"/>
          <c:yMode val="edge"/>
          <c:x val="0.25222222222222229"/>
          <c:y val="7.7682997958588504E-2"/>
        </c:manualLayout>
      </c:layout>
      <c:overlay val="0"/>
      <c:spPr>
        <a:solidFill>
          <a:schemeClr val="accent5">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by rating'!$B$3</c:f>
              <c:strCache>
                <c:ptCount val="1"/>
                <c:pt idx="0">
                  <c:v>Total</c:v>
                </c:pt>
              </c:strCache>
            </c:strRef>
          </c:tx>
          <c:spPr>
            <a:solidFill>
              <a:schemeClr val="accent1"/>
            </a:solidFill>
            <a:ln>
              <a:noFill/>
            </a:ln>
            <a:effectLst/>
          </c:spPr>
          <c:invertIfNegative val="0"/>
          <c:cat>
            <c:strRef>
              <c:f>'top 5 by rating'!$A$4:$A$19</c:f>
              <c:strCache>
                <c:ptCount val="15"/>
                <c:pt idx="0">
                  <c:v>LED Wall Digital Alarm Clock Study Home 12 / 24H Clock Calendar</c:v>
                </c:pt>
                <c:pt idx="1">
                  <c:v>24 Grid Wall-mounted Sundries Organiser Fabric Closet Bag Storage Rack</c:v>
                </c:pt>
                <c:pt idx="2">
                  <c:v>Wall Mount Automatic Toothpaste Dispenser Toothbrush Holder Toothpaste Squeezer</c:v>
                </c:pt>
                <c:pt idx="3">
                  <c:v>Shower Nozzle Cleaning Unclogging Needle Mini Crevice Small Hole Cleaning Brush</c:v>
                </c:pt>
                <c:pt idx="4">
                  <c:v>Cushion Silicone Butt Cushion Summer Ice Cushion Honeycomb Gel Cushion</c:v>
                </c:pt>
                <c:pt idx="5">
                  <c:v>2 Pairs Cowhide Split Leather Work Gloves.32â„‰ Or Above Welding Gloves</c:v>
                </c:pt>
                <c:pt idx="6">
                  <c:v>Pen Grips For Kids Pen Grip Posture Correction Tool For Kids</c:v>
                </c:pt>
                <c:pt idx="7">
                  <c:v>Portable Soap Dispenser Kitchen Detergent Press Box Kitchen Tools</c:v>
                </c:pt>
                <c:pt idx="8">
                  <c:v>Shower Cap Wide Elastic Band Cover Reusable Bashroom Cap</c:v>
                </c:pt>
                <c:pt idx="9">
                  <c:v>Metal Wall Clock Silver Dial Crystal Jewelry Round Home Decoration Wall Clock</c:v>
                </c:pt>
                <c:pt idx="10">
                  <c:v>Thickening Multipurpose Non Stick Easy To Clean Heat Resistant Spoon Pad</c:v>
                </c:pt>
                <c:pt idx="11">
                  <c:v>Multi-purpose Rice Drainage Basket And Fruit And Vegetable Drainage Sieve</c:v>
                </c:pt>
                <c:pt idx="12">
                  <c:v>Wall-Mounted Toothbrush Toothpaste Holder With Multiple Slots</c:v>
                </c:pt>
                <c:pt idx="13">
                  <c:v>Office Chair Lumbar Back Support Spine Posture Correction Pillow Car Cushion</c:v>
                </c:pt>
                <c:pt idx="14">
                  <c:v>Outdoor Portable Water Bottle With Medicine Box - 600ML - Black</c:v>
                </c:pt>
              </c:strCache>
            </c:strRef>
          </c:cat>
          <c:val>
            <c:numRef>
              <c:f>'top 5 by rating'!$B$4:$B$19</c:f>
              <c:numCache>
                <c:formatCode>General</c:formatCode>
                <c:ptCount val="15"/>
                <c:pt idx="0">
                  <c:v>4.5999999999999996</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numCache>
            </c:numRef>
          </c:val>
          <c:extLst>
            <c:ext xmlns:c16="http://schemas.microsoft.com/office/drawing/2014/chart" uri="{C3380CC4-5D6E-409C-BE32-E72D297353CC}">
              <c16:uniqueId val="{00000000-FDDB-4970-B229-09B8AA87BD96}"/>
            </c:ext>
          </c:extLst>
        </c:ser>
        <c:dLbls>
          <c:showLegendKey val="0"/>
          <c:showVal val="0"/>
          <c:showCatName val="0"/>
          <c:showSerName val="0"/>
          <c:showPercent val="0"/>
          <c:showBubbleSize val="0"/>
        </c:dLbls>
        <c:gapWidth val="182"/>
        <c:axId val="1711760032"/>
        <c:axId val="1711761952"/>
      </c:barChart>
      <c:catAx>
        <c:axId val="1711760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761952"/>
        <c:crosses val="autoZero"/>
        <c:auto val="1"/>
        <c:lblAlgn val="ctr"/>
        <c:lblOffset val="100"/>
        <c:noMultiLvlLbl val="0"/>
      </c:catAx>
      <c:valAx>
        <c:axId val="17117619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760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and a dashboard.xlsx]top product by reviews!PivotTable12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product by number</a:t>
            </a:r>
            <a:r>
              <a:rPr lang="en-US" baseline="0"/>
              <a:t> of review</a:t>
            </a:r>
            <a:r>
              <a:rPr lang="en-US"/>
              <a:t> </a:t>
            </a:r>
          </a:p>
        </c:rich>
      </c:tx>
      <c:overlay val="0"/>
      <c:spPr>
        <a:solidFill>
          <a:schemeClr val="accent1">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product by reviews'!$B$3</c:f>
              <c:strCache>
                <c:ptCount val="1"/>
                <c:pt idx="0">
                  <c:v>Total</c:v>
                </c:pt>
              </c:strCache>
            </c:strRef>
          </c:tx>
          <c:spPr>
            <a:solidFill>
              <a:schemeClr val="accent1"/>
            </a:solidFill>
            <a:ln>
              <a:noFill/>
            </a:ln>
            <a:effectLst/>
          </c:spPr>
          <c:invertIfNegative val="0"/>
          <c:cat>
            <c:strRef>
              <c:f>'top product by reviews'!$A$4:$A$19</c:f>
              <c:strCache>
                <c:ptCount val="15"/>
                <c:pt idx="0">
                  <c:v>2 Pairs Cowhide Split Leather Work Gloves.32â„‰ Or Above Welding Gloves</c:v>
                </c:pt>
                <c:pt idx="1">
                  <c:v>24 Grid Wall-mounted Sundries Organiser Fabric Closet Bag Storage Rack</c:v>
                </c:pt>
                <c:pt idx="2">
                  <c:v>Cushion Silicone Butt Cushion Summer Ice Cushion Honeycomb Gel Cushion</c:v>
                </c:pt>
                <c:pt idx="3">
                  <c:v>LED Wall Digital Alarm Clock Study Home 12 / 24H Clock Calendar</c:v>
                </c:pt>
                <c:pt idx="4">
                  <c:v>Metal Wall Clock Silver Dial Crystal Jewelry Round Home Decoration Wall Clock</c:v>
                </c:pt>
                <c:pt idx="5">
                  <c:v>Multi-purpose Rice Drainage Basket And Fruit And Vegetable Drainage Sieve</c:v>
                </c:pt>
                <c:pt idx="6">
                  <c:v>Office Chair Lumbar Back Support Spine Posture Correction Pillow Car Cushion</c:v>
                </c:pt>
                <c:pt idx="7">
                  <c:v>Outdoor Portable Water Bottle With Medicine Box - 600ML - Black</c:v>
                </c:pt>
                <c:pt idx="8">
                  <c:v>Pen Grips For Kids Pen Grip Posture Correction Tool For Kids</c:v>
                </c:pt>
                <c:pt idx="9">
                  <c:v>Portable Soap Dispenser Kitchen Detergent Press Box Kitchen Tools</c:v>
                </c:pt>
                <c:pt idx="10">
                  <c:v>Shower Cap Wide Elastic Band Cover Reusable Bashroom Cap</c:v>
                </c:pt>
                <c:pt idx="11">
                  <c:v>Shower Nozzle Cleaning Unclogging Needle Mini Crevice Small Hole Cleaning Brush</c:v>
                </c:pt>
                <c:pt idx="12">
                  <c:v>Thickening Multipurpose Non Stick Easy To Clean Heat Resistant Spoon Pad</c:v>
                </c:pt>
                <c:pt idx="13">
                  <c:v>Wall Mount Automatic Toothpaste Dispenser Toothbrush Holder Toothpaste Squeezer</c:v>
                </c:pt>
                <c:pt idx="14">
                  <c:v>Wall-Mounted Toothbrush Toothpaste Holder With Multiple Slots</c:v>
                </c:pt>
              </c:strCache>
            </c:strRef>
          </c:cat>
          <c:val>
            <c:numRef>
              <c:f>'top product by reviews'!$B$4:$B$19</c:f>
              <c:numCache>
                <c:formatCode>General</c:formatCode>
                <c:ptCount val="15"/>
                <c:pt idx="0">
                  <c:v>0</c:v>
                </c:pt>
                <c:pt idx="1">
                  <c:v>0</c:v>
                </c:pt>
                <c:pt idx="2">
                  <c:v>0</c:v>
                </c:pt>
                <c:pt idx="3">
                  <c:v>5</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0-BEC3-447E-A6E2-085451C722B5}"/>
            </c:ext>
          </c:extLst>
        </c:ser>
        <c:dLbls>
          <c:showLegendKey val="0"/>
          <c:showVal val="0"/>
          <c:showCatName val="0"/>
          <c:showSerName val="0"/>
          <c:showPercent val="0"/>
          <c:showBubbleSize val="0"/>
        </c:dLbls>
        <c:gapWidth val="182"/>
        <c:axId val="962433184"/>
        <c:axId val="962433664"/>
      </c:barChart>
      <c:catAx>
        <c:axId val="962433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433664"/>
        <c:crosses val="autoZero"/>
        <c:auto val="1"/>
        <c:lblAlgn val="ctr"/>
        <c:lblOffset val="100"/>
        <c:noMultiLvlLbl val="0"/>
      </c:catAx>
      <c:valAx>
        <c:axId val="962433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433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and a dashboard.xlsx]Breakdown of product by rating !PivotTable13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Breakdown of product by rating and discount category </a:t>
            </a:r>
          </a:p>
        </c:rich>
      </c:tx>
      <c:overlay val="0"/>
      <c:spPr>
        <a:solidFill>
          <a:schemeClr val="accent4">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'Breakdown of product by rating '!$B$3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cat>
            <c:strRef>
              <c:f>'Breakdown of product by rating '!$A$4:$A$5</c:f>
              <c:strCache>
                <c:ptCount val="1"/>
                <c:pt idx="0">
                  <c:v>LOW DISCOUNT</c:v>
                </c:pt>
              </c:strCache>
            </c:strRef>
          </c:cat>
          <c:val>
            <c:numRef>
              <c:f>'Breakdown of product by rating '!$B$4:$B$5</c:f>
              <c:numCache>
                <c:formatCode>General</c:formatCode>
                <c:ptCount val="1"/>
                <c:pt idx="0">
                  <c:v>15</c:v>
                </c:pt>
              </c:numCache>
            </c:numRef>
          </c:val>
          <c:extLst>
            <c:ext xmlns:c16="http://schemas.microsoft.com/office/drawing/2014/chart" uri="{C3380CC4-5D6E-409C-BE32-E72D297353CC}">
              <c16:uniqueId val="{00000000-BCAF-41CF-9CF1-FDB0FB06F391}"/>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and a dashboard.xlsx]comparisson average rating !PivotTable9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comparrison between average rating and N.o of reviews</a:t>
            </a:r>
          </a:p>
        </c:rich>
      </c:tx>
      <c:layout>
        <c:manualLayout>
          <c:xMode val="edge"/>
          <c:yMode val="edge"/>
          <c:x val="8.8513779527559039E-2"/>
          <c:y val="0.22944006999125111"/>
        </c:manualLayout>
      </c:layout>
      <c:overlay val="0"/>
      <c:spPr>
        <a:solidFill>
          <a:schemeClr val="accent1">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'comparisson average rating '!$B$3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EB2-472F-B706-D76C8FFC63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EB2-472F-B706-D76C8FFC63D4}"/>
              </c:ext>
            </c:extLst>
          </c:dPt>
          <c:cat>
            <c:strRef>
              <c:f>'comparisson average rating '!$A$4:$A$5</c:f>
              <c:strCache>
                <c:ptCount val="2"/>
                <c:pt idx="0">
                  <c:v>Average of Rating</c:v>
                </c:pt>
                <c:pt idx="1">
                  <c:v>Sum of Review</c:v>
                </c:pt>
              </c:strCache>
            </c:strRef>
          </c:cat>
          <c:val>
            <c:numRef>
              <c:f>'comparisson average rating '!$B$4:$B$5</c:f>
              <c:numCache>
                <c:formatCode>General</c:formatCode>
                <c:ptCount val="2"/>
                <c:pt idx="0">
                  <c:v>3.8</c:v>
                </c:pt>
                <c:pt idx="1">
                  <c:v>50</c:v>
                </c:pt>
              </c:numCache>
            </c:numRef>
          </c:val>
          <c:extLst>
            <c:ext xmlns:c16="http://schemas.microsoft.com/office/drawing/2014/chart" uri="{C3380CC4-5D6E-409C-BE32-E72D297353CC}">
              <c16:uniqueId val="{00000004-CEB2-472F-B706-D76C8FFC63D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and a dashboard.xlsx]rating and reviews!PivotTable5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Relationship between rating and No. of reviews</a:t>
            </a:r>
          </a:p>
        </c:rich>
      </c:tx>
      <c:overlay val="0"/>
      <c:spPr>
        <a:solidFill>
          <a:schemeClr val="accent1">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'rating and reviews'!$B$3</c:f>
              <c:strCache>
                <c:ptCount val="1"/>
                <c:pt idx="0">
                  <c:v>Total</c:v>
                </c:pt>
              </c:strCache>
            </c:strRef>
          </c:tx>
          <c:spPr>
            <a:solidFill>
              <a:schemeClr val="accent1"/>
            </a:solidFill>
            <a:ln>
              <a:noFill/>
            </a:ln>
            <a:effectLst/>
            <a:sp3d/>
          </c:spPr>
          <c:invertIfNegative val="0"/>
          <c:cat>
            <c:strRef>
              <c:f>'rating and reviews'!$A$4:$A$26</c:f>
              <c:strCache>
                <c:ptCount val="22"/>
                <c:pt idx="0">
                  <c:v>2</c:v>
                </c:pt>
                <c:pt idx="1">
                  <c:v>2.1</c:v>
                </c:pt>
                <c:pt idx="2">
                  <c:v>2.2</c:v>
                </c:pt>
                <c:pt idx="3">
                  <c:v>2.3</c:v>
                </c:pt>
                <c:pt idx="4">
                  <c:v>2.5</c:v>
                </c:pt>
                <c:pt idx="5">
                  <c:v>2.6</c:v>
                </c:pt>
                <c:pt idx="6">
                  <c:v>2.7</c:v>
                </c:pt>
                <c:pt idx="7">
                  <c:v>2.8</c:v>
                </c:pt>
                <c:pt idx="8">
                  <c:v>2.9</c:v>
                </c:pt>
                <c:pt idx="9">
                  <c:v>3</c:v>
                </c:pt>
                <c:pt idx="10">
                  <c:v>3.3</c:v>
                </c:pt>
                <c:pt idx="11">
                  <c:v>3.8</c:v>
                </c:pt>
                <c:pt idx="12">
                  <c:v>4</c:v>
                </c:pt>
                <c:pt idx="13">
                  <c:v>4.1</c:v>
                </c:pt>
                <c:pt idx="14">
                  <c:v>4.2</c:v>
                </c:pt>
                <c:pt idx="15">
                  <c:v>4.3</c:v>
                </c:pt>
                <c:pt idx="16">
                  <c:v>4.4</c:v>
                </c:pt>
                <c:pt idx="17">
                  <c:v>4.5</c:v>
                </c:pt>
                <c:pt idx="18">
                  <c:v>4.6</c:v>
                </c:pt>
                <c:pt idx="19">
                  <c:v>4.7</c:v>
                </c:pt>
                <c:pt idx="20">
                  <c:v>4.8</c:v>
                </c:pt>
                <c:pt idx="21">
                  <c:v>5</c:v>
                </c:pt>
              </c:strCache>
            </c:strRef>
          </c:cat>
          <c:val>
            <c:numRef>
              <c:f>'rating and reviews'!$B$4:$B$26</c:f>
              <c:numCache>
                <c:formatCode>General</c:formatCode>
                <c:ptCount val="22"/>
                <c:pt idx="0">
                  <c:v>1</c:v>
                </c:pt>
                <c:pt idx="1">
                  <c:v>20</c:v>
                </c:pt>
                <c:pt idx="2">
                  <c:v>12</c:v>
                </c:pt>
                <c:pt idx="3">
                  <c:v>13</c:v>
                </c:pt>
                <c:pt idx="4">
                  <c:v>6</c:v>
                </c:pt>
                <c:pt idx="5">
                  <c:v>17</c:v>
                </c:pt>
                <c:pt idx="6">
                  <c:v>15</c:v>
                </c:pt>
                <c:pt idx="7">
                  <c:v>69</c:v>
                </c:pt>
                <c:pt idx="8">
                  <c:v>16</c:v>
                </c:pt>
                <c:pt idx="9">
                  <c:v>26</c:v>
                </c:pt>
                <c:pt idx="10">
                  <c:v>13</c:v>
                </c:pt>
                <c:pt idx="11">
                  <c:v>30</c:v>
                </c:pt>
                <c:pt idx="12">
                  <c:v>24</c:v>
                </c:pt>
                <c:pt idx="13">
                  <c:v>46</c:v>
                </c:pt>
                <c:pt idx="14">
                  <c:v>9</c:v>
                </c:pt>
                <c:pt idx="15">
                  <c:v>118</c:v>
                </c:pt>
                <c:pt idx="16">
                  <c:v>14</c:v>
                </c:pt>
                <c:pt idx="17">
                  <c:v>8</c:v>
                </c:pt>
                <c:pt idx="18">
                  <c:v>177</c:v>
                </c:pt>
                <c:pt idx="19">
                  <c:v>58</c:v>
                </c:pt>
                <c:pt idx="20">
                  <c:v>22</c:v>
                </c:pt>
                <c:pt idx="21">
                  <c:v>9</c:v>
                </c:pt>
              </c:numCache>
            </c:numRef>
          </c:val>
          <c:extLst>
            <c:ext xmlns:c16="http://schemas.microsoft.com/office/drawing/2014/chart" uri="{C3380CC4-5D6E-409C-BE32-E72D297353CC}">
              <c16:uniqueId val="{00000000-5B41-445E-86BC-6C83CB939ADF}"/>
            </c:ext>
          </c:extLst>
        </c:ser>
        <c:dLbls>
          <c:showLegendKey val="0"/>
          <c:showVal val="0"/>
          <c:showCatName val="0"/>
          <c:showSerName val="0"/>
          <c:showPercent val="0"/>
          <c:showBubbleSize val="0"/>
        </c:dLbls>
        <c:gapWidth val="150"/>
        <c:shape val="box"/>
        <c:axId val="1715422016"/>
        <c:axId val="1715422496"/>
        <c:axId val="0"/>
      </c:bar3DChart>
      <c:catAx>
        <c:axId val="17154220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422496"/>
        <c:crosses val="autoZero"/>
        <c:auto val="1"/>
        <c:lblAlgn val="ctr"/>
        <c:lblOffset val="100"/>
        <c:noMultiLvlLbl val="0"/>
      </c:catAx>
      <c:valAx>
        <c:axId val="1715422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422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and a dashboard.xlsx]%discount and reviews!PivotTable4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Relationship between %discount and N.o</a:t>
            </a:r>
            <a:r>
              <a:rPr lang="en-US" baseline="0"/>
              <a:t> of review</a:t>
            </a:r>
            <a:endParaRPr lang="en-US"/>
          </a:p>
        </c:rich>
      </c:tx>
      <c:layout>
        <c:manualLayout>
          <c:xMode val="edge"/>
          <c:yMode val="edge"/>
          <c:x val="0.19218744531933507"/>
          <c:y val="0.11934966462525518"/>
        </c:manualLayout>
      </c:layout>
      <c:overlay val="0"/>
      <c:spPr>
        <a:solidFill>
          <a:schemeClr val="accent6">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'%discount and reviews'!$B$3</c:f>
              <c:strCache>
                <c:ptCount val="1"/>
                <c:pt idx="0">
                  <c:v>Total</c:v>
                </c:pt>
              </c:strCache>
            </c:strRef>
          </c:tx>
          <c:spPr>
            <a:ln w="28575" cap="rnd">
              <a:solidFill>
                <a:schemeClr val="accent1"/>
              </a:solidFill>
              <a:round/>
            </a:ln>
            <a:effectLst/>
          </c:spPr>
          <c:marker>
            <c:symbol val="none"/>
          </c:marker>
          <c:cat>
            <c:strRef>
              <c:f>'%discount and reviews'!$A$4:$A$17</c:f>
              <c:strCache>
                <c:ptCount val="13"/>
                <c:pt idx="0">
                  <c:v>0.02-0.07</c:v>
                </c:pt>
                <c:pt idx="1">
                  <c:v>0.07-0.12</c:v>
                </c:pt>
                <c:pt idx="2">
                  <c:v>0.12-0.17</c:v>
                </c:pt>
                <c:pt idx="3">
                  <c:v>0.17-0.22</c:v>
                </c:pt>
                <c:pt idx="4">
                  <c:v>0.22-0.27</c:v>
                </c:pt>
                <c:pt idx="5">
                  <c:v>0.27-0.32</c:v>
                </c:pt>
                <c:pt idx="6">
                  <c:v>0.32-0.37</c:v>
                </c:pt>
                <c:pt idx="7">
                  <c:v>0.37-0.42</c:v>
                </c:pt>
                <c:pt idx="8">
                  <c:v>0.42-0.47</c:v>
                </c:pt>
                <c:pt idx="9">
                  <c:v>0.47-0.52</c:v>
                </c:pt>
                <c:pt idx="10">
                  <c:v>0.52-0.57</c:v>
                </c:pt>
                <c:pt idx="11">
                  <c:v>0.57-0.62</c:v>
                </c:pt>
                <c:pt idx="12">
                  <c:v>0.62-0.67</c:v>
                </c:pt>
              </c:strCache>
            </c:strRef>
          </c:cat>
          <c:val>
            <c:numRef>
              <c:f>'%discount and reviews'!$B$4:$B$17</c:f>
              <c:numCache>
                <c:formatCode>General</c:formatCode>
                <c:ptCount val="13"/>
                <c:pt idx="0">
                  <c:v>0</c:v>
                </c:pt>
                <c:pt idx="1">
                  <c:v>15</c:v>
                </c:pt>
                <c:pt idx="2">
                  <c:v>6</c:v>
                </c:pt>
                <c:pt idx="3">
                  <c:v>30</c:v>
                </c:pt>
                <c:pt idx="4">
                  <c:v>114</c:v>
                </c:pt>
                <c:pt idx="5">
                  <c:v>77</c:v>
                </c:pt>
                <c:pt idx="6">
                  <c:v>128</c:v>
                </c:pt>
                <c:pt idx="7">
                  <c:v>55</c:v>
                </c:pt>
                <c:pt idx="8">
                  <c:v>48</c:v>
                </c:pt>
                <c:pt idx="9">
                  <c:v>176</c:v>
                </c:pt>
                <c:pt idx="10">
                  <c:v>74</c:v>
                </c:pt>
                <c:pt idx="11">
                  <c:v>0</c:v>
                </c:pt>
                <c:pt idx="12">
                  <c:v>0</c:v>
                </c:pt>
              </c:numCache>
            </c:numRef>
          </c:val>
          <c:smooth val="0"/>
          <c:extLst>
            <c:ext xmlns:c16="http://schemas.microsoft.com/office/drawing/2014/chart" uri="{C3380CC4-5D6E-409C-BE32-E72D297353CC}">
              <c16:uniqueId val="{00000000-1CE3-4B3C-950B-A214D53E616F}"/>
            </c:ext>
          </c:extLst>
        </c:ser>
        <c:dLbls>
          <c:showLegendKey val="0"/>
          <c:showVal val="0"/>
          <c:showCatName val="0"/>
          <c:showSerName val="0"/>
          <c:showPercent val="0"/>
          <c:showBubbleSize val="0"/>
        </c:dLbls>
        <c:smooth val="0"/>
        <c:axId val="962417824"/>
        <c:axId val="962416384"/>
      </c:lineChart>
      <c:catAx>
        <c:axId val="96241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416384"/>
        <c:crosses val="autoZero"/>
        <c:auto val="1"/>
        <c:lblAlgn val="ctr"/>
        <c:lblOffset val="100"/>
        <c:noMultiLvlLbl val="0"/>
      </c:catAx>
      <c:valAx>
        <c:axId val="962416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417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and a dashboard.xlsx]top 5 by rating!PivotTable11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highest rated products</a:t>
            </a:r>
            <a:endParaRPr lang="en-US"/>
          </a:p>
        </c:rich>
      </c:tx>
      <c:layout>
        <c:manualLayout>
          <c:xMode val="edge"/>
          <c:yMode val="edge"/>
          <c:x val="0.25222222222222229"/>
          <c:y val="7.7682997958588504E-2"/>
        </c:manualLayout>
      </c:layout>
      <c:overlay val="0"/>
      <c:spPr>
        <a:solidFill>
          <a:schemeClr val="accent5">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by rating'!$B$3</c:f>
              <c:strCache>
                <c:ptCount val="1"/>
                <c:pt idx="0">
                  <c:v>Total</c:v>
                </c:pt>
              </c:strCache>
            </c:strRef>
          </c:tx>
          <c:spPr>
            <a:solidFill>
              <a:schemeClr val="accent1"/>
            </a:solidFill>
            <a:ln>
              <a:noFill/>
            </a:ln>
            <a:effectLst/>
          </c:spPr>
          <c:invertIfNegative val="0"/>
          <c:cat>
            <c:strRef>
              <c:f>'top 5 by rating'!$A$4:$A$19</c:f>
              <c:strCache>
                <c:ptCount val="15"/>
                <c:pt idx="0">
                  <c:v>LED Wall Digital Alarm Clock Study Home 12 / 24H Clock Calendar</c:v>
                </c:pt>
                <c:pt idx="1">
                  <c:v>24 Grid Wall-mounted Sundries Organiser Fabric Closet Bag Storage Rack</c:v>
                </c:pt>
                <c:pt idx="2">
                  <c:v>Wall Mount Automatic Toothpaste Dispenser Toothbrush Holder Toothpaste Squeezer</c:v>
                </c:pt>
                <c:pt idx="3">
                  <c:v>Shower Nozzle Cleaning Unclogging Needle Mini Crevice Small Hole Cleaning Brush</c:v>
                </c:pt>
                <c:pt idx="4">
                  <c:v>Cushion Silicone Butt Cushion Summer Ice Cushion Honeycomb Gel Cushion</c:v>
                </c:pt>
                <c:pt idx="5">
                  <c:v>2 Pairs Cowhide Split Leather Work Gloves.32â„‰ Or Above Welding Gloves</c:v>
                </c:pt>
                <c:pt idx="6">
                  <c:v>Pen Grips For Kids Pen Grip Posture Correction Tool For Kids</c:v>
                </c:pt>
                <c:pt idx="7">
                  <c:v>Portable Soap Dispenser Kitchen Detergent Press Box Kitchen Tools</c:v>
                </c:pt>
                <c:pt idx="8">
                  <c:v>Shower Cap Wide Elastic Band Cover Reusable Bashroom Cap</c:v>
                </c:pt>
                <c:pt idx="9">
                  <c:v>Metal Wall Clock Silver Dial Crystal Jewelry Round Home Decoration Wall Clock</c:v>
                </c:pt>
                <c:pt idx="10">
                  <c:v>Thickening Multipurpose Non Stick Easy To Clean Heat Resistant Spoon Pad</c:v>
                </c:pt>
                <c:pt idx="11">
                  <c:v>Multi-purpose Rice Drainage Basket And Fruit And Vegetable Drainage Sieve</c:v>
                </c:pt>
                <c:pt idx="12">
                  <c:v>Wall-Mounted Toothbrush Toothpaste Holder With Multiple Slots</c:v>
                </c:pt>
                <c:pt idx="13">
                  <c:v>Office Chair Lumbar Back Support Spine Posture Correction Pillow Car Cushion</c:v>
                </c:pt>
                <c:pt idx="14">
                  <c:v>Outdoor Portable Water Bottle With Medicine Box - 600ML - Black</c:v>
                </c:pt>
              </c:strCache>
            </c:strRef>
          </c:cat>
          <c:val>
            <c:numRef>
              <c:f>'top 5 by rating'!$B$4:$B$19</c:f>
              <c:numCache>
                <c:formatCode>General</c:formatCode>
                <c:ptCount val="15"/>
                <c:pt idx="0">
                  <c:v>4.5999999999999996</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numCache>
            </c:numRef>
          </c:val>
          <c:extLst>
            <c:ext xmlns:c16="http://schemas.microsoft.com/office/drawing/2014/chart" uri="{C3380CC4-5D6E-409C-BE32-E72D297353CC}">
              <c16:uniqueId val="{00000000-EC05-4B52-9505-7EFC544D2995}"/>
            </c:ext>
          </c:extLst>
        </c:ser>
        <c:dLbls>
          <c:showLegendKey val="0"/>
          <c:showVal val="0"/>
          <c:showCatName val="0"/>
          <c:showSerName val="0"/>
          <c:showPercent val="0"/>
          <c:showBubbleSize val="0"/>
        </c:dLbls>
        <c:gapWidth val="182"/>
        <c:axId val="1711760032"/>
        <c:axId val="1711761952"/>
      </c:barChart>
      <c:catAx>
        <c:axId val="1711760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761952"/>
        <c:crosses val="autoZero"/>
        <c:auto val="1"/>
        <c:lblAlgn val="ctr"/>
        <c:lblOffset val="100"/>
        <c:noMultiLvlLbl val="0"/>
      </c:catAx>
      <c:valAx>
        <c:axId val="17117619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760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and a dashboard.xlsx]top product by reviews!PivotTable12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product by number</a:t>
            </a:r>
            <a:r>
              <a:rPr lang="en-US" baseline="0"/>
              <a:t> of review</a:t>
            </a:r>
            <a:r>
              <a:rPr lang="en-US"/>
              <a:t> </a:t>
            </a:r>
          </a:p>
        </c:rich>
      </c:tx>
      <c:overlay val="0"/>
      <c:spPr>
        <a:solidFill>
          <a:schemeClr val="accent1">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product by reviews'!$B$3</c:f>
              <c:strCache>
                <c:ptCount val="1"/>
                <c:pt idx="0">
                  <c:v>Total</c:v>
                </c:pt>
              </c:strCache>
            </c:strRef>
          </c:tx>
          <c:spPr>
            <a:solidFill>
              <a:schemeClr val="accent1"/>
            </a:solidFill>
            <a:ln>
              <a:noFill/>
            </a:ln>
            <a:effectLst/>
          </c:spPr>
          <c:invertIfNegative val="0"/>
          <c:cat>
            <c:strRef>
              <c:f>'top product by reviews'!$A$4:$A$19</c:f>
              <c:strCache>
                <c:ptCount val="15"/>
                <c:pt idx="0">
                  <c:v>2 Pairs Cowhide Split Leather Work Gloves.32â„‰ Or Above Welding Gloves</c:v>
                </c:pt>
                <c:pt idx="1">
                  <c:v>24 Grid Wall-mounted Sundries Organiser Fabric Closet Bag Storage Rack</c:v>
                </c:pt>
                <c:pt idx="2">
                  <c:v>Cushion Silicone Butt Cushion Summer Ice Cushion Honeycomb Gel Cushion</c:v>
                </c:pt>
                <c:pt idx="3">
                  <c:v>LED Wall Digital Alarm Clock Study Home 12 / 24H Clock Calendar</c:v>
                </c:pt>
                <c:pt idx="4">
                  <c:v>Metal Wall Clock Silver Dial Crystal Jewelry Round Home Decoration Wall Clock</c:v>
                </c:pt>
                <c:pt idx="5">
                  <c:v>Multi-purpose Rice Drainage Basket And Fruit And Vegetable Drainage Sieve</c:v>
                </c:pt>
                <c:pt idx="6">
                  <c:v>Office Chair Lumbar Back Support Spine Posture Correction Pillow Car Cushion</c:v>
                </c:pt>
                <c:pt idx="7">
                  <c:v>Outdoor Portable Water Bottle With Medicine Box - 600ML - Black</c:v>
                </c:pt>
                <c:pt idx="8">
                  <c:v>Pen Grips For Kids Pen Grip Posture Correction Tool For Kids</c:v>
                </c:pt>
                <c:pt idx="9">
                  <c:v>Portable Soap Dispenser Kitchen Detergent Press Box Kitchen Tools</c:v>
                </c:pt>
                <c:pt idx="10">
                  <c:v>Shower Cap Wide Elastic Band Cover Reusable Bashroom Cap</c:v>
                </c:pt>
                <c:pt idx="11">
                  <c:v>Shower Nozzle Cleaning Unclogging Needle Mini Crevice Small Hole Cleaning Brush</c:v>
                </c:pt>
                <c:pt idx="12">
                  <c:v>Thickening Multipurpose Non Stick Easy To Clean Heat Resistant Spoon Pad</c:v>
                </c:pt>
                <c:pt idx="13">
                  <c:v>Wall Mount Automatic Toothpaste Dispenser Toothbrush Holder Toothpaste Squeezer</c:v>
                </c:pt>
                <c:pt idx="14">
                  <c:v>Wall-Mounted Toothbrush Toothpaste Holder With Multiple Slots</c:v>
                </c:pt>
              </c:strCache>
            </c:strRef>
          </c:cat>
          <c:val>
            <c:numRef>
              <c:f>'top product by reviews'!$B$4:$B$19</c:f>
              <c:numCache>
                <c:formatCode>General</c:formatCode>
                <c:ptCount val="15"/>
                <c:pt idx="0">
                  <c:v>0</c:v>
                </c:pt>
                <c:pt idx="1">
                  <c:v>0</c:v>
                </c:pt>
                <c:pt idx="2">
                  <c:v>0</c:v>
                </c:pt>
                <c:pt idx="3">
                  <c:v>5</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0-0432-4F9A-B9AF-31F4E302EF96}"/>
            </c:ext>
          </c:extLst>
        </c:ser>
        <c:dLbls>
          <c:showLegendKey val="0"/>
          <c:showVal val="0"/>
          <c:showCatName val="0"/>
          <c:showSerName val="0"/>
          <c:showPercent val="0"/>
          <c:showBubbleSize val="0"/>
        </c:dLbls>
        <c:gapWidth val="182"/>
        <c:axId val="962433184"/>
        <c:axId val="962433664"/>
      </c:barChart>
      <c:catAx>
        <c:axId val="962433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433664"/>
        <c:crosses val="autoZero"/>
        <c:auto val="1"/>
        <c:lblAlgn val="ctr"/>
        <c:lblOffset val="100"/>
        <c:noMultiLvlLbl val="0"/>
      </c:catAx>
      <c:valAx>
        <c:axId val="962433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433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and a dashboard.xlsx]top 5 by % diccount!PivotTable10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product by discount % </a:t>
            </a:r>
          </a:p>
        </c:rich>
      </c:tx>
      <c:overlay val="0"/>
      <c:spPr>
        <a:solidFill>
          <a:schemeClr val="accent5">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by % diccount'!$B$3</c:f>
              <c:strCache>
                <c:ptCount val="1"/>
                <c:pt idx="0">
                  <c:v>Total</c:v>
                </c:pt>
              </c:strCache>
            </c:strRef>
          </c:tx>
          <c:spPr>
            <a:solidFill>
              <a:schemeClr val="accent1"/>
            </a:solidFill>
            <a:ln>
              <a:noFill/>
            </a:ln>
            <a:effectLst/>
          </c:spPr>
          <c:invertIfNegative val="0"/>
          <c:cat>
            <c:strRef>
              <c:f>'top 5 by % diccount'!$A$4:$A$9</c:f>
              <c:strCache>
                <c:ptCount val="5"/>
                <c:pt idx="0">
                  <c:v>LED Wall Digital Alarm Clock Study Home 12 / 24H Clock Calendar</c:v>
                </c:pt>
                <c:pt idx="1">
                  <c:v>Wall-Mounted Toothbrush Toothpaste Holder With Multiple Slots</c:v>
                </c:pt>
                <c:pt idx="2">
                  <c:v>Office Chair Lumbar Back Support Spine Posture Correction Pillow Car Cushion</c:v>
                </c:pt>
                <c:pt idx="3">
                  <c:v>Outdoor Portable Water Bottle With Medicine Box - 600ML - Black</c:v>
                </c:pt>
                <c:pt idx="4">
                  <c:v>Wall Mount Automatic Toothpaste Dispenser Toothbrush Holder Toothpaste Squeezer</c:v>
                </c:pt>
              </c:strCache>
            </c:strRef>
          </c:cat>
          <c:val>
            <c:numRef>
              <c:f>'top 5 by % diccount'!$B$4:$B$9</c:f>
              <c:numCache>
                <c:formatCode>0%</c:formatCode>
                <c:ptCount val="5"/>
                <c:pt idx="0">
                  <c:v>0.19</c:v>
                </c:pt>
                <c:pt idx="1">
                  <c:v>0.14000000000000001</c:v>
                </c:pt>
                <c:pt idx="2">
                  <c:v>0.14000000000000001</c:v>
                </c:pt>
                <c:pt idx="3">
                  <c:v>0.11</c:v>
                </c:pt>
                <c:pt idx="4">
                  <c:v>0.08</c:v>
                </c:pt>
              </c:numCache>
            </c:numRef>
          </c:val>
          <c:extLst>
            <c:ext xmlns:c16="http://schemas.microsoft.com/office/drawing/2014/chart" uri="{C3380CC4-5D6E-409C-BE32-E72D297353CC}">
              <c16:uniqueId val="{00000000-D83C-4A17-BE81-438809916DB1}"/>
            </c:ext>
          </c:extLst>
        </c:ser>
        <c:dLbls>
          <c:showLegendKey val="0"/>
          <c:showVal val="0"/>
          <c:showCatName val="0"/>
          <c:showSerName val="0"/>
          <c:showPercent val="0"/>
          <c:showBubbleSize val="0"/>
        </c:dLbls>
        <c:gapWidth val="182"/>
        <c:axId val="962435104"/>
        <c:axId val="962435584"/>
      </c:barChart>
      <c:catAx>
        <c:axId val="962435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435584"/>
        <c:crosses val="autoZero"/>
        <c:auto val="1"/>
        <c:lblAlgn val="ctr"/>
        <c:lblOffset val="100"/>
        <c:noMultiLvlLbl val="0"/>
      </c:catAx>
      <c:valAx>
        <c:axId val="96243558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435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and a dashboard.xlsx]Breakdown of product by rating !PivotTable13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Breakdown of product by rating and discount category </a:t>
            </a:r>
          </a:p>
        </c:rich>
      </c:tx>
      <c:overlay val="0"/>
      <c:spPr>
        <a:solidFill>
          <a:schemeClr val="accent4">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'Breakdown of product by rating '!$B$3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319-4C4C-80F7-A749062D437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319-4C4C-80F7-A749062D437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319-4C4C-80F7-A749062D437F}"/>
              </c:ext>
            </c:extLst>
          </c:dPt>
          <c:cat>
            <c:strRef>
              <c:f>'Breakdown of product by rating '!$A$4:$A$5</c:f>
              <c:strCache>
                <c:ptCount val="1"/>
                <c:pt idx="0">
                  <c:v>LOW DISCOUNT</c:v>
                </c:pt>
              </c:strCache>
            </c:strRef>
          </c:cat>
          <c:val>
            <c:numRef>
              <c:f>'Breakdown of product by rating '!$B$4:$B$5</c:f>
              <c:numCache>
                <c:formatCode>General</c:formatCode>
                <c:ptCount val="1"/>
                <c:pt idx="0">
                  <c:v>15</c:v>
                </c:pt>
              </c:numCache>
            </c:numRef>
          </c:val>
          <c:extLst>
            <c:ext xmlns:c16="http://schemas.microsoft.com/office/drawing/2014/chart" uri="{C3380CC4-5D6E-409C-BE32-E72D297353CC}">
              <c16:uniqueId val="{00000006-7319-4C4C-80F7-A749062D437F}"/>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4</xdr:col>
      <xdr:colOff>114300</xdr:colOff>
      <xdr:row>1</xdr:row>
      <xdr:rowOff>38100</xdr:rowOff>
    </xdr:from>
    <xdr:to>
      <xdr:col>20</xdr:col>
      <xdr:colOff>15240</xdr:colOff>
      <xdr:row>16</xdr:row>
      <xdr:rowOff>38100</xdr:rowOff>
    </xdr:to>
    <xdr:graphicFrame macro="">
      <xdr:nvGraphicFramePr>
        <xdr:cNvPr id="3" name="Chart 2">
          <a:extLst>
            <a:ext uri="{FF2B5EF4-FFF2-40B4-BE49-F238E27FC236}">
              <a16:creationId xmlns:a16="http://schemas.microsoft.com/office/drawing/2014/main" id="{3E7B88C1-DCE5-7E09-6315-AAA71BBA57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541020</xdr:colOff>
      <xdr:row>6</xdr:row>
      <xdr:rowOff>41910</xdr:rowOff>
    </xdr:from>
    <xdr:to>
      <xdr:col>11</xdr:col>
      <xdr:colOff>236220</xdr:colOff>
      <xdr:row>21</xdr:row>
      <xdr:rowOff>41910</xdr:rowOff>
    </xdr:to>
    <xdr:graphicFrame macro="">
      <xdr:nvGraphicFramePr>
        <xdr:cNvPr id="2" name="Chart 1">
          <a:extLst>
            <a:ext uri="{FF2B5EF4-FFF2-40B4-BE49-F238E27FC236}">
              <a16:creationId xmlns:a16="http://schemas.microsoft.com/office/drawing/2014/main" id="{6CD58EC3-2A73-7069-06C3-9736DA296E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129540</xdr:colOff>
      <xdr:row>7</xdr:row>
      <xdr:rowOff>114300</xdr:rowOff>
    </xdr:from>
    <xdr:to>
      <xdr:col>6</xdr:col>
      <xdr:colOff>45720</xdr:colOff>
      <xdr:row>22</xdr:row>
      <xdr:rowOff>114300</xdr:rowOff>
    </xdr:to>
    <xdr:graphicFrame macro="">
      <xdr:nvGraphicFramePr>
        <xdr:cNvPr id="2" name="Chart 1">
          <a:extLst>
            <a:ext uri="{FF2B5EF4-FFF2-40B4-BE49-F238E27FC236}">
              <a16:creationId xmlns:a16="http://schemas.microsoft.com/office/drawing/2014/main" id="{0956D2F0-93BB-E19D-6D03-33A5D86080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213360</xdr:colOff>
      <xdr:row>11</xdr:row>
      <xdr:rowOff>15240</xdr:rowOff>
    </xdr:from>
    <xdr:to>
      <xdr:col>2</xdr:col>
      <xdr:colOff>289560</xdr:colOff>
      <xdr:row>26</xdr:row>
      <xdr:rowOff>15240</xdr:rowOff>
    </xdr:to>
    <xdr:graphicFrame macro="">
      <xdr:nvGraphicFramePr>
        <xdr:cNvPr id="2" name="Chart 1">
          <a:extLst>
            <a:ext uri="{FF2B5EF4-FFF2-40B4-BE49-F238E27FC236}">
              <a16:creationId xmlns:a16="http://schemas.microsoft.com/office/drawing/2014/main" id="{1DEB99B2-6F13-79D3-160C-E1D1C5E0BB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480060</xdr:colOff>
      <xdr:row>8</xdr:row>
      <xdr:rowOff>60960</xdr:rowOff>
    </xdr:from>
    <xdr:to>
      <xdr:col>10</xdr:col>
      <xdr:colOff>175260</xdr:colOff>
      <xdr:row>23</xdr:row>
      <xdr:rowOff>60960</xdr:rowOff>
    </xdr:to>
    <xdr:graphicFrame macro="">
      <xdr:nvGraphicFramePr>
        <xdr:cNvPr id="2" name="Chart 1">
          <a:extLst>
            <a:ext uri="{FF2B5EF4-FFF2-40B4-BE49-F238E27FC236}">
              <a16:creationId xmlns:a16="http://schemas.microsoft.com/office/drawing/2014/main" id="{1A911430-5569-5503-C83B-8B4E8AAA78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289560</xdr:colOff>
      <xdr:row>1</xdr:row>
      <xdr:rowOff>15240</xdr:rowOff>
    </xdr:from>
    <xdr:to>
      <xdr:col>9</xdr:col>
      <xdr:colOff>594360</xdr:colOff>
      <xdr:row>16</xdr:row>
      <xdr:rowOff>15240</xdr:rowOff>
    </xdr:to>
    <xdr:graphicFrame macro="">
      <xdr:nvGraphicFramePr>
        <xdr:cNvPr id="2" name="Chart 1">
          <a:extLst>
            <a:ext uri="{FF2B5EF4-FFF2-40B4-BE49-F238E27FC236}">
              <a16:creationId xmlns:a16="http://schemas.microsoft.com/office/drawing/2014/main" id="{4A1D79F3-4E94-D0C3-659F-97BA1E2C39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838200</xdr:colOff>
      <xdr:row>6</xdr:row>
      <xdr:rowOff>45720</xdr:rowOff>
    </xdr:from>
    <xdr:to>
      <xdr:col>10</xdr:col>
      <xdr:colOff>76200</xdr:colOff>
      <xdr:row>21</xdr:row>
      <xdr:rowOff>45720</xdr:rowOff>
    </xdr:to>
    <xdr:graphicFrame macro="">
      <xdr:nvGraphicFramePr>
        <xdr:cNvPr id="2" name="Chart 1">
          <a:extLst>
            <a:ext uri="{FF2B5EF4-FFF2-40B4-BE49-F238E27FC236}">
              <a16:creationId xmlns:a16="http://schemas.microsoft.com/office/drawing/2014/main" id="{424102CB-F347-EAF8-74B1-895DAB0B54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7</xdr:col>
      <xdr:colOff>114300</xdr:colOff>
      <xdr:row>7</xdr:row>
      <xdr:rowOff>7620</xdr:rowOff>
    </xdr:from>
    <xdr:to>
      <xdr:col>10</xdr:col>
      <xdr:colOff>114300</xdr:colOff>
      <xdr:row>20</xdr:row>
      <xdr:rowOff>97155</xdr:rowOff>
    </xdr:to>
    <mc:AlternateContent xmlns:mc="http://schemas.openxmlformats.org/markup-compatibility/2006">
      <mc:Choice xmlns:a14="http://schemas.microsoft.com/office/drawing/2010/main" Requires="a14">
        <xdr:graphicFrame macro="">
          <xdr:nvGraphicFramePr>
            <xdr:cNvPr id="2" name="Rating category">
              <a:extLst>
                <a:ext uri="{FF2B5EF4-FFF2-40B4-BE49-F238E27FC236}">
                  <a16:creationId xmlns:a16="http://schemas.microsoft.com/office/drawing/2014/main" id="{7C34D30F-05FD-E3B3-F260-6DBB7025B2C1}"/>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dr:sp macro="" textlink="">
          <xdr:nvSpPr>
            <xdr:cNvPr id="0" name=""/>
            <xdr:cNvSpPr>
              <a:spLocks noTextEdit="1"/>
            </xdr:cNvSpPr>
          </xdr:nvSpPr>
          <xdr:spPr>
            <a:xfrm>
              <a:off x="4632960" y="12877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9</xdr:col>
      <xdr:colOff>220980</xdr:colOff>
      <xdr:row>23</xdr:row>
      <xdr:rowOff>160020</xdr:rowOff>
    </xdr:from>
    <xdr:to>
      <xdr:col>14</xdr:col>
      <xdr:colOff>533400</xdr:colOff>
      <xdr:row>35</xdr:row>
      <xdr:rowOff>160020</xdr:rowOff>
    </xdr:to>
    <xdr:graphicFrame macro="">
      <xdr:nvGraphicFramePr>
        <xdr:cNvPr id="2" name="Chart 1">
          <a:extLst>
            <a:ext uri="{FF2B5EF4-FFF2-40B4-BE49-F238E27FC236}">
              <a16:creationId xmlns:a16="http://schemas.microsoft.com/office/drawing/2014/main" id="{5D853CF2-2160-4389-B537-1D0597E1C3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411480</xdr:colOff>
      <xdr:row>8</xdr:row>
      <xdr:rowOff>175260</xdr:rowOff>
    </xdr:from>
    <xdr:to>
      <xdr:col>14</xdr:col>
      <xdr:colOff>365760</xdr:colOff>
      <xdr:row>23</xdr:row>
      <xdr:rowOff>83820</xdr:rowOff>
    </xdr:to>
    <xdr:graphicFrame macro="">
      <xdr:nvGraphicFramePr>
        <xdr:cNvPr id="4" name="Chart 3">
          <a:extLst>
            <a:ext uri="{FF2B5EF4-FFF2-40B4-BE49-F238E27FC236}">
              <a16:creationId xmlns:a16="http://schemas.microsoft.com/office/drawing/2014/main" id="{4381B321-E627-4922-BD81-F3E867096B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297180</xdr:colOff>
      <xdr:row>9</xdr:row>
      <xdr:rowOff>7620</xdr:rowOff>
    </xdr:from>
    <xdr:to>
      <xdr:col>9</xdr:col>
      <xdr:colOff>373380</xdr:colOff>
      <xdr:row>23</xdr:row>
      <xdr:rowOff>45720</xdr:rowOff>
    </xdr:to>
    <xdr:graphicFrame macro="">
      <xdr:nvGraphicFramePr>
        <xdr:cNvPr id="5" name="Chart 4">
          <a:extLst>
            <a:ext uri="{FF2B5EF4-FFF2-40B4-BE49-F238E27FC236}">
              <a16:creationId xmlns:a16="http://schemas.microsoft.com/office/drawing/2014/main" id="{DED7C984-61A5-4AE2-B1B6-2B0EA61D66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411480</xdr:colOff>
      <xdr:row>0</xdr:row>
      <xdr:rowOff>38100</xdr:rowOff>
    </xdr:from>
    <xdr:to>
      <xdr:col>13</xdr:col>
      <xdr:colOff>365760</xdr:colOff>
      <xdr:row>4</xdr:row>
      <xdr:rowOff>30480</xdr:rowOff>
    </xdr:to>
    <xdr:sp macro="" textlink="">
      <xdr:nvSpPr>
        <xdr:cNvPr id="6" name="Rectangle: Rounded Corners 5">
          <a:extLst>
            <a:ext uri="{FF2B5EF4-FFF2-40B4-BE49-F238E27FC236}">
              <a16:creationId xmlns:a16="http://schemas.microsoft.com/office/drawing/2014/main" id="{1F3FD5C3-3B9F-726F-6219-F9EC347E1E66}"/>
            </a:ext>
          </a:extLst>
        </xdr:cNvPr>
        <xdr:cNvSpPr/>
      </xdr:nvSpPr>
      <xdr:spPr>
        <a:xfrm>
          <a:off x="3459480" y="38100"/>
          <a:ext cx="4831080" cy="723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a:t>JUMIA</a:t>
          </a:r>
          <a:r>
            <a:rPr lang="en-US" sz="3600" baseline="0"/>
            <a:t> DASHDOARD</a:t>
          </a:r>
          <a:endParaRPr lang="en-US" sz="3600"/>
        </a:p>
      </xdr:txBody>
    </xdr:sp>
    <xdr:clientData/>
  </xdr:twoCellAnchor>
  <xdr:twoCellAnchor>
    <xdr:from>
      <xdr:col>3</xdr:col>
      <xdr:colOff>510540</xdr:colOff>
      <xdr:row>5</xdr:row>
      <xdr:rowOff>53340</xdr:rowOff>
    </xdr:from>
    <xdr:to>
      <xdr:col>6</xdr:col>
      <xdr:colOff>304800</xdr:colOff>
      <xdr:row>8</xdr:row>
      <xdr:rowOff>137160</xdr:rowOff>
    </xdr:to>
    <xdr:sp macro="" textlink="">
      <xdr:nvSpPr>
        <xdr:cNvPr id="7" name="Rectangle: Rounded Corners 6">
          <a:extLst>
            <a:ext uri="{FF2B5EF4-FFF2-40B4-BE49-F238E27FC236}">
              <a16:creationId xmlns:a16="http://schemas.microsoft.com/office/drawing/2014/main" id="{A80E50D3-0BD4-4AE2-B24A-73A576EAD4EE}"/>
            </a:ext>
          </a:extLst>
        </xdr:cNvPr>
        <xdr:cNvSpPr/>
      </xdr:nvSpPr>
      <xdr:spPr>
        <a:xfrm>
          <a:off x="2339340" y="967740"/>
          <a:ext cx="1623060" cy="6324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TOTAL N.o OF PRODUCT</a:t>
          </a:r>
        </a:p>
        <a:p>
          <a:pPr algn="ctr"/>
          <a:r>
            <a:rPr lang="en-US" sz="1100"/>
            <a:t>113</a:t>
          </a:r>
        </a:p>
      </xdr:txBody>
    </xdr:sp>
    <xdr:clientData/>
  </xdr:twoCellAnchor>
  <xdr:twoCellAnchor>
    <xdr:from>
      <xdr:col>6</xdr:col>
      <xdr:colOff>457200</xdr:colOff>
      <xdr:row>5</xdr:row>
      <xdr:rowOff>30480</xdr:rowOff>
    </xdr:from>
    <xdr:to>
      <xdr:col>9</xdr:col>
      <xdr:colOff>121920</xdr:colOff>
      <xdr:row>8</xdr:row>
      <xdr:rowOff>114300</xdr:rowOff>
    </xdr:to>
    <xdr:sp macro="" textlink="">
      <xdr:nvSpPr>
        <xdr:cNvPr id="8" name="Rectangle: Rounded Corners 7">
          <a:extLst>
            <a:ext uri="{FF2B5EF4-FFF2-40B4-BE49-F238E27FC236}">
              <a16:creationId xmlns:a16="http://schemas.microsoft.com/office/drawing/2014/main" id="{4ED8BCFF-D912-426A-B376-BA21D50A93C1}"/>
            </a:ext>
          </a:extLst>
        </xdr:cNvPr>
        <xdr:cNvSpPr/>
      </xdr:nvSpPr>
      <xdr:spPr>
        <a:xfrm>
          <a:off x="4114800" y="944880"/>
          <a:ext cx="1493520" cy="6324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AVERAGE</a:t>
          </a:r>
          <a:r>
            <a:rPr lang="en-US" sz="1100" baseline="0"/>
            <a:t> RATING</a:t>
          </a:r>
        </a:p>
        <a:p>
          <a:pPr algn="ctr"/>
          <a:r>
            <a:rPr lang="en-US" sz="1100" baseline="0"/>
            <a:t>3.8508772</a:t>
          </a:r>
          <a:endParaRPr lang="en-US" sz="1100"/>
        </a:p>
      </xdr:txBody>
    </xdr:sp>
    <xdr:clientData/>
  </xdr:twoCellAnchor>
  <xdr:twoCellAnchor>
    <xdr:from>
      <xdr:col>9</xdr:col>
      <xdr:colOff>175260</xdr:colOff>
      <xdr:row>5</xdr:row>
      <xdr:rowOff>22860</xdr:rowOff>
    </xdr:from>
    <xdr:to>
      <xdr:col>11</xdr:col>
      <xdr:colOff>502920</xdr:colOff>
      <xdr:row>8</xdr:row>
      <xdr:rowOff>106680</xdr:rowOff>
    </xdr:to>
    <xdr:sp macro="" textlink="">
      <xdr:nvSpPr>
        <xdr:cNvPr id="9" name="Rectangle: Rounded Corners 8">
          <a:extLst>
            <a:ext uri="{FF2B5EF4-FFF2-40B4-BE49-F238E27FC236}">
              <a16:creationId xmlns:a16="http://schemas.microsoft.com/office/drawing/2014/main" id="{E5B711E5-379F-4494-9E12-0FCD7183411B}"/>
            </a:ext>
          </a:extLst>
        </xdr:cNvPr>
        <xdr:cNvSpPr/>
      </xdr:nvSpPr>
      <xdr:spPr>
        <a:xfrm>
          <a:off x="5661660" y="937260"/>
          <a:ext cx="1546860" cy="6324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AVERAGE</a:t>
          </a:r>
          <a:r>
            <a:rPr lang="en-US" sz="1100" baseline="0"/>
            <a:t> DISCOUNT%</a:t>
          </a:r>
        </a:p>
        <a:p>
          <a:pPr algn="ctr"/>
          <a:r>
            <a:rPr lang="en-US" sz="1100" baseline="0"/>
            <a:t>37%</a:t>
          </a:r>
          <a:endParaRPr lang="en-US" sz="1100"/>
        </a:p>
      </xdr:txBody>
    </xdr:sp>
    <xdr:clientData/>
  </xdr:twoCellAnchor>
  <xdr:twoCellAnchor>
    <xdr:from>
      <xdr:col>11</xdr:col>
      <xdr:colOff>594360</xdr:colOff>
      <xdr:row>5</xdr:row>
      <xdr:rowOff>38100</xdr:rowOff>
    </xdr:from>
    <xdr:to>
      <xdr:col>14</xdr:col>
      <xdr:colOff>441960</xdr:colOff>
      <xdr:row>8</xdr:row>
      <xdr:rowOff>91440</xdr:rowOff>
    </xdr:to>
    <xdr:sp macro="" textlink="">
      <xdr:nvSpPr>
        <xdr:cNvPr id="10" name="Rectangle: Rounded Corners 9">
          <a:extLst>
            <a:ext uri="{FF2B5EF4-FFF2-40B4-BE49-F238E27FC236}">
              <a16:creationId xmlns:a16="http://schemas.microsoft.com/office/drawing/2014/main" id="{C68A3F55-7199-44F6-BADB-A671614C4B23}"/>
            </a:ext>
          </a:extLst>
        </xdr:cNvPr>
        <xdr:cNvSpPr/>
      </xdr:nvSpPr>
      <xdr:spPr>
        <a:xfrm>
          <a:off x="7299960" y="952500"/>
          <a:ext cx="1676400" cy="6019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TOTAL</a:t>
          </a:r>
          <a:r>
            <a:rPr lang="en-US" sz="1100" baseline="0"/>
            <a:t> N.o OF REVIEWS</a:t>
          </a:r>
        </a:p>
        <a:p>
          <a:pPr algn="ctr"/>
          <a:r>
            <a:rPr lang="en-US" sz="1100" baseline="0"/>
            <a:t>723</a:t>
          </a:r>
          <a:endParaRPr lang="en-US" sz="1100"/>
        </a:p>
      </xdr:txBody>
    </xdr:sp>
    <xdr:clientData/>
  </xdr:twoCellAnchor>
  <xdr:twoCellAnchor>
    <xdr:from>
      <xdr:col>3</xdr:col>
      <xdr:colOff>312420</xdr:colOff>
      <xdr:row>23</xdr:row>
      <xdr:rowOff>160020</xdr:rowOff>
    </xdr:from>
    <xdr:to>
      <xdr:col>9</xdr:col>
      <xdr:colOff>160020</xdr:colOff>
      <xdr:row>35</xdr:row>
      <xdr:rowOff>137160</xdr:rowOff>
    </xdr:to>
    <xdr:graphicFrame macro="">
      <xdr:nvGraphicFramePr>
        <xdr:cNvPr id="19" name="Chart 18">
          <a:extLst>
            <a:ext uri="{FF2B5EF4-FFF2-40B4-BE49-F238E27FC236}">
              <a16:creationId xmlns:a16="http://schemas.microsoft.com/office/drawing/2014/main" id="{E729EC84-711A-4D34-A098-E5685879D3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449580</xdr:colOff>
      <xdr:row>8</xdr:row>
      <xdr:rowOff>160020</xdr:rowOff>
    </xdr:from>
    <xdr:to>
      <xdr:col>19</xdr:col>
      <xdr:colOff>533400</xdr:colOff>
      <xdr:row>23</xdr:row>
      <xdr:rowOff>83820</xdr:rowOff>
    </xdr:to>
    <xdr:graphicFrame macro="">
      <xdr:nvGraphicFramePr>
        <xdr:cNvPr id="20" name="Chart 19">
          <a:extLst>
            <a:ext uri="{FF2B5EF4-FFF2-40B4-BE49-F238E27FC236}">
              <a16:creationId xmlns:a16="http://schemas.microsoft.com/office/drawing/2014/main" id="{785489D0-13E8-4987-963C-988DC63D91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15240</xdr:colOff>
      <xdr:row>24</xdr:row>
      <xdr:rowOff>30480</xdr:rowOff>
    </xdr:from>
    <xdr:to>
      <xdr:col>20</xdr:col>
      <xdr:colOff>30480</xdr:colOff>
      <xdr:row>36</xdr:row>
      <xdr:rowOff>22860</xdr:rowOff>
    </xdr:to>
    <xdr:graphicFrame macro="">
      <xdr:nvGraphicFramePr>
        <xdr:cNvPr id="21" name="Chart 20">
          <a:extLst>
            <a:ext uri="{FF2B5EF4-FFF2-40B4-BE49-F238E27FC236}">
              <a16:creationId xmlns:a16="http://schemas.microsoft.com/office/drawing/2014/main" id="{617A36D4-CF25-4E65-8742-FC8F9B3B96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281940</xdr:colOff>
      <xdr:row>36</xdr:row>
      <xdr:rowOff>60960</xdr:rowOff>
    </xdr:from>
    <xdr:to>
      <xdr:col>9</xdr:col>
      <xdr:colOff>236220</xdr:colOff>
      <xdr:row>51</xdr:row>
      <xdr:rowOff>68580</xdr:rowOff>
    </xdr:to>
    <xdr:graphicFrame macro="">
      <xdr:nvGraphicFramePr>
        <xdr:cNvPr id="22" name="Chart 21">
          <a:extLst>
            <a:ext uri="{FF2B5EF4-FFF2-40B4-BE49-F238E27FC236}">
              <a16:creationId xmlns:a16="http://schemas.microsoft.com/office/drawing/2014/main" id="{7AC4E0BE-FB56-44A0-AFBE-DFA4872368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20</xdr:col>
      <xdr:colOff>228600</xdr:colOff>
      <xdr:row>9</xdr:row>
      <xdr:rowOff>45721</xdr:rowOff>
    </xdr:from>
    <xdr:to>
      <xdr:col>23</xdr:col>
      <xdr:colOff>228600</xdr:colOff>
      <xdr:row>17</xdr:row>
      <xdr:rowOff>106681</xdr:rowOff>
    </xdr:to>
    <mc:AlternateContent xmlns:mc="http://schemas.openxmlformats.org/markup-compatibility/2006">
      <mc:Choice xmlns:a14="http://schemas.microsoft.com/office/drawing/2010/main" Requires="a14">
        <xdr:graphicFrame macro="">
          <xdr:nvGraphicFramePr>
            <xdr:cNvPr id="23" name="Discount category 1">
              <a:extLst>
                <a:ext uri="{FF2B5EF4-FFF2-40B4-BE49-F238E27FC236}">
                  <a16:creationId xmlns:a16="http://schemas.microsoft.com/office/drawing/2014/main" id="{AB234133-A7F3-4A5F-ABEC-2095B44B50B6}"/>
                </a:ext>
              </a:extLst>
            </xdr:cNvPr>
            <xdr:cNvGraphicFramePr/>
          </xdr:nvGraphicFramePr>
          <xdr:xfrm>
            <a:off x="0" y="0"/>
            <a:ext cx="0" cy="0"/>
          </xdr:xfrm>
          <a:graphic>
            <a:graphicData uri="http://schemas.microsoft.com/office/drawing/2010/slicer">
              <sle:slicer xmlns:sle="http://schemas.microsoft.com/office/drawing/2010/slicer" name="Discount category 1"/>
            </a:graphicData>
          </a:graphic>
        </xdr:graphicFrame>
      </mc:Choice>
      <mc:Fallback>
        <xdr:sp macro="" textlink="">
          <xdr:nvSpPr>
            <xdr:cNvPr id="0" name=""/>
            <xdr:cNvSpPr>
              <a:spLocks noTextEdit="1"/>
            </xdr:cNvSpPr>
          </xdr:nvSpPr>
          <xdr:spPr>
            <a:xfrm>
              <a:off x="12420600" y="1691641"/>
              <a:ext cx="1828800"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312420</xdr:colOff>
      <xdr:row>18</xdr:row>
      <xdr:rowOff>76200</xdr:rowOff>
    </xdr:from>
    <xdr:to>
      <xdr:col>23</xdr:col>
      <xdr:colOff>312420</xdr:colOff>
      <xdr:row>31</xdr:row>
      <xdr:rowOff>165735</xdr:rowOff>
    </xdr:to>
    <mc:AlternateContent xmlns:mc="http://schemas.openxmlformats.org/markup-compatibility/2006">
      <mc:Choice xmlns:a14="http://schemas.microsoft.com/office/drawing/2010/main" Requires="a14">
        <xdr:graphicFrame macro="">
          <xdr:nvGraphicFramePr>
            <xdr:cNvPr id="24" name="Rating category 1">
              <a:extLst>
                <a:ext uri="{FF2B5EF4-FFF2-40B4-BE49-F238E27FC236}">
                  <a16:creationId xmlns:a16="http://schemas.microsoft.com/office/drawing/2014/main" id="{B4FFA671-63CF-45F9-88CF-4F071EDDB777}"/>
                </a:ext>
              </a:extLst>
            </xdr:cNvPr>
            <xdr:cNvGraphicFramePr/>
          </xdr:nvGraphicFramePr>
          <xdr:xfrm>
            <a:off x="0" y="0"/>
            <a:ext cx="0" cy="0"/>
          </xdr:xfrm>
          <a:graphic>
            <a:graphicData uri="http://schemas.microsoft.com/office/drawing/2010/slicer">
              <sle:slicer xmlns:sle="http://schemas.microsoft.com/office/drawing/2010/slicer" name="Rating category 1"/>
            </a:graphicData>
          </a:graphic>
        </xdr:graphicFrame>
      </mc:Choice>
      <mc:Fallback>
        <xdr:sp macro="" textlink="">
          <xdr:nvSpPr>
            <xdr:cNvPr id="0" name=""/>
            <xdr:cNvSpPr>
              <a:spLocks noTextEdit="1"/>
            </xdr:cNvSpPr>
          </xdr:nvSpPr>
          <xdr:spPr>
            <a:xfrm>
              <a:off x="12504420" y="33680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53.536385416664" createdVersion="8" refreshedVersion="8" minRefreshableVersion="3" recordCount="112" xr:uid="{5D9792A7-FEC5-4412-AC81-AF42FB329151}">
  <cacheSource type="worksheet">
    <worksheetSource ref="A1:I113" sheet="Excel_jumia"/>
  </cacheSource>
  <cacheFields count="9">
    <cacheField name="Product" numFmtId="0">
      <sharedItems count="109">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Shower Cap Wide Elastic Band Cover Reusable Bashroom Cap"/>
        <s v="Christmas Elk Fence Yard Lawn Decorations Cute For Holidays"/>
        <s v="60W Hot Melt Glue Sprayer - Efficient And Stable Glue Dispensing"/>
        <s v="Car Phone Charging Stand"/>
        <s v="2pcs Solar Street Light Flood Light Outdoor"/>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Christmas Fence Garden Decorations Outdoor For Holiday Home"/>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 v="Balloon Insert, Birthday Party Balloon Set, PU Leather"/>
        <s v="Creative Owl Shape Keychain Black"/>
        <s v="Simple Metal Dog Art Sculpture Decoration For Home Office"/>
        <s v="Angle Measuring Tool Full Metal Multi Angle Measuring Tool"/>
        <s v="6 Layers Steel Pipe Assembling Dustproof Storage Shoe Cabinet"/>
      </sharedItems>
    </cacheField>
    <cacheField name="Current price" numFmtId="2">
      <sharedItems containsSemiMixedTypes="0" containsString="0" containsNumber="1" containsInteger="1" minValue="38" maxValue="3750"/>
    </cacheField>
    <cacheField name="old price" numFmtId="2">
      <sharedItems containsSemiMixedTypes="0" containsString="0" containsNumber="1" containsInteger="1" minValue="80" maxValue="6143"/>
    </cacheField>
    <cacheField name="Discount" numFmtId="9">
      <sharedItems containsSemiMixedTypes="0" containsString="0" containsNumber="1" minValue="0.01" maxValue="0.64"/>
    </cacheField>
    <cacheField name="Review" numFmtId="0">
      <sharedItems containsSemiMixedTypes="0" containsString="0" containsNumber="1" containsInteger="1" minValue="0" maxValue="69"/>
    </cacheField>
    <cacheField name="Rating" numFmtId="0">
      <sharedItems containsMixedTypes="1" containsNumber="1" minValue="2" maxValue="5" count="23">
        <n v="4.5"/>
        <n v="4.0999999999999996"/>
        <n v="4.5999999999999996"/>
        <n v="4.7"/>
        <n v="4.8"/>
        <n v="4"/>
        <n v="3.8"/>
        <n v="4.2"/>
        <n v="5"/>
        <n v="3.3"/>
        <s v="N/A"/>
        <n v="4.4000000000000004"/>
        <n v="4.3"/>
        <n v="2.5"/>
        <n v="3"/>
        <n v="2.1"/>
        <n v="2.8"/>
        <n v="2.7"/>
        <n v="2.9"/>
        <n v="2.2000000000000002"/>
        <n v="2.2999999999999998"/>
        <n v="2.6"/>
        <n v="2"/>
      </sharedItems>
    </cacheField>
    <cacheField name="Discount amount(ksh)" numFmtId="165">
      <sharedItems containsMixedTypes="1" containsNumber="1" containsInteger="1" minValue="37" maxValue="2585"/>
    </cacheField>
    <cacheField name="Rating category" numFmtId="0">
      <sharedItems count="3">
        <s v="excellent"/>
        <s v="average"/>
        <s v="poor"/>
      </sharedItems>
    </cacheField>
    <cacheField name="Discount category" numFmtId="0">
      <sharedItems count="3">
        <s v="MEDIUM DISCOUNT"/>
        <s v="HIGH DISCOUNT"/>
        <s v="LOW DISCOUNT"/>
      </sharedItems>
    </cacheField>
  </cacheFields>
  <extLst>
    <ext xmlns:x14="http://schemas.microsoft.com/office/spreadsheetml/2009/9/main" uri="{725AE2AE-9491-48be-B2B4-4EB974FC3084}">
      <x14:pivotCacheDefinition pivotCacheId="184752120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53.576639699073" createdVersion="8" refreshedVersion="8" minRefreshableVersion="3" recordCount="111" xr:uid="{5AF0F431-B7CB-4103-BD7B-189C96A322F3}">
  <cacheSource type="worksheet">
    <worksheetSource ref="A1:I112" sheet="Excel_jumia"/>
  </cacheSource>
  <cacheFields count="9">
    <cacheField name="Product" numFmtId="0">
      <sharedItems count="109">
        <s v="6 In 1 Bottle Can Opener Multifunctional Easy Opener"/>
        <s v="Creative Owl Shape Keychain Black"/>
        <s v="5-PCS Stainless Steel Cooking Pot Set With Steamed Slices"/>
        <s v="LASA FOLDING TABLE SERVING STAND"/>
        <s v="Simple Metal Dog Art Sculpture Decoration For Home Office"/>
        <s v="Mythco 120COB Solar Wall Ligt With Motion Sensor And Remote Control 3 Modes"/>
        <s v="LASA 3 Tier Bamboo Shoe Bench Storage Shelf"/>
        <s v="3PCS Single Head Knitting Crochet Sweater Needle Set"/>
        <s v="Classic Black Cat Cotton Hemp Pillow Case For Home Car"/>
        <s v="Intelligent  LED Body Sensor Wireless Lighting Night Light USB"/>
        <s v="Exfoliate And Exfoliate Face Towel - Black"/>
        <s v="Anti-Skid Absorbent Insulation Coaster  For Home Office"/>
        <s v="380ML USB Rechargeable Portable Small Blenders And Juicers"/>
        <s v="Wall-mounted Sticker Punch-free Plug Fixer"/>
        <s v="Modern Sofa Throw Pillow Cover-45x45cm-Blue&amp;Red"/>
        <s v="Christmas Elk Fence Yard Lawn Decorations Cute For Holidays"/>
        <s v="Brush &amp; Paintbrush Cleaning Tool Pink"/>
        <s v="Wall Clock With Hidden Safe Box"/>
        <s v="2PCS Ice Silk Square Cushion Cover Pillowcases - 65x65cm"/>
        <s v="120W Cordless Vacuum Cleaners Handheld Electric Vacuum Cleaner"/>
        <s v="3D Waterproof EVA Plastic Shower Curtain 1.8*2Mtrs"/>
        <s v="LASA Aluminum Folding Truck Hand Cart - 68kg Max"/>
        <s v="Bedroom Simple Floor Hanging Clothes Rack Single Pole Hat Rack - White"/>
        <s v="Household Pineapple Peeler Peeler"/>
        <s v="4M Float Switch Water Level Controller -Water Tank"/>
        <s v="Car Phone Charging Stand"/>
        <s v="7PCS Silicone Thumb Knife Finger Protector Vegetable Harvesting Knife"/>
        <s v="Cartoon Car Decoration Cute Individuality For Car Home Desk"/>
        <s v="4 Piece Coloured Stainless Steel Kitchenware Set"/>
        <s v="Baby Early Education Shape And Color Cognitive Training Toys"/>
        <s v="Angle Measuring Tool Full Metal Multi Angle Measuring Tool"/>
        <s v="LED Eye Protection  Desk Lamp , Study, Reading, USB Fan - Double Pen Holder"/>
        <s v="Christmas Fence Garden Decorations Outdoor For Holiday Home"/>
        <s v="Portable Wine Table With Folding Round Table"/>
        <s v="Sewing Machine Needle Threader Stitch Insertion Tool Automatic Quick Sewing"/>
        <s v="Metal Decorative Hooks Key Hangers Entryway Wall Hooks Towel Hooks - Home"/>
        <s v="40cm Gold DIY Acrylic Wall Sticker Clock"/>
        <s v="Electric LED UV Mosquito Killer Lamp, Outdoor/Indoor Fly Killer Trap Light -USB"/>
        <s v="7-piece Set Of Storage Bags, Travel Storage Bags, Shoe Bags"/>
        <s v="2PCS/LOT Solar LED Outdoor Intelligent Light Controlled Wall Lamp"/>
        <s v="Black Simple Water Cup Wine Coaster Anti Slip Absorbent"/>
        <s v="6 Layers Steel Pipe Assembling Dustproof Storage Shoe Cabinet"/>
        <s v="Peacock  Throw Pillow Cushion Case For Home Car"/>
        <s v="Memory Foam Neck Pillow Cover, With Pillow Core - 50*30cm"/>
        <s v="MultiFunctional Storage Rack Multi-layer Booelf"/>
        <s v="Agapeon Toothbrush Holder And Toothpaste Dispenser"/>
        <s v="Artificial Potted Flowers Room Decorative Flowers (2 Pieces)"/>
        <s v="13 In 1 Home Repair Tools Box Kit Set"/>
        <s v="Watercolour Gold Foil Textured Print Pillow Cover"/>
        <s v="Wrought Iron Bathroom Shelf Wall Mounted Free Punch Toilet Rack"/>
        <s v="3PCS Rotary Scraper Thermomix For Kitchen"/>
        <s v="Multifunctional Hanging Storage Box Storage Bag (4 Layers)"/>
        <s v="LASA Digital Thermometer And Hydrometer"/>
        <s v="4pcs Bathroom/Kitchen Towel Rack,Roll Paper Holder,Towel Bars,Hook"/>
        <s v="8in1 Screwdriver With LED Light"/>
        <s v="Balloon Insert, Birthday Party Balloon Set, PU Leather"/>
        <s v="Punch-free Great Load Bearing Bathroom Storage Rack Wall Shelf-White"/>
        <s v="Cute Christmas Fence Garden Decorations For Holiday Home"/>
        <s v="9pcs Gas Mask, For Painting, Dust, Formaldehyde Grinding, Polishing"/>
        <s v="DIY File Folder, Office Drawer File Holder, Pen Holder, Desktop Storage Rack"/>
        <s v="32PCS Portable Cordless Drill Set With Cyclic Battery Drive -26 Variable Speed"/>
        <s v="115  Piece Set Of Multifunctional Precision Screwdrivers"/>
        <s v="1/2/3 Seater Elastic Sofa Cover,Living Room/Home Decor Chair Cover-Grey"/>
        <s v="LASA Stainless Steel Double Wall Mount Soap Dispenser - 500ml"/>
        <s v="2pcs Solar Street Light Flood Light Outdoor"/>
        <s v="Weighing Scale Digital Bathroom Body Fat Scale USB-Black"/>
        <s v="Desk Foldable Fan Adjustable Fan Strong Wind 3 Gear Usb"/>
        <s v="5m Waterproof Spherical LED String Lights Outdoor Ball Chain Lights Party Lighting Decoration Adjustable"/>
        <s v="Electronic Digital Display Vernier Caliper"/>
        <s v="LED Romantic Spaceship Starry Sky Projector,Children's Bedroom Night Light-Blue"/>
        <s v="100 Pcs Crochet Hook Tool Set Knitting Hook Set With Box"/>
        <s v="12 Litre Insulated Lunch Box Grey"/>
        <s v="LED Solar Street Light-fake Camera"/>
        <s v="Cartoon Embroidered Mini Towel Bear Cotton Wash Cloth Hand 4pcs"/>
        <s v="Multifunction Laser Level With Adjustment Tripod"/>
        <s v="60W Hot Melt Glue Sprayer - Efficient And Stable Glue Dispensing"/>
        <s v="12 Litre Black Insulated Lunch Box"/>
        <s v="52 Pieces Cake Decorating Tool Set Gift Kit Baking Supplies"/>
        <s v="Large Lazy Inflatable Sofa Chairs PVC Lounger Seat Bag"/>
        <s v="53 Pieces/Set Yarn Knitting Crochet Hooks With Bag - Pansies"/>
        <s v="53Pcs/Set Yarn Knitting Crochet Hooks With Bag - Fortune Cat"/>
        <s v="12V 19500rpm Handheld Electric Angle Grinder Tool - UK - Yellow/Black"/>
        <s v="Portable Home Small Air Humidifier 3-Speed Fan - Green"/>
        <s v="Portable Mini Cordless Car Vacuum Cleaner - Blue"/>
        <s v="137 Pieces Cake Decorating Tool Set Baking Supplies"/>
        <s v="1PC Refrigerator Food Seal Pocket Fridge Bags"/>
        <s v="Foldable Overbed Table/Desk"/>
        <s v="VIC Wireless Vacuum Cleaner Dual Use For Home And Car 120W High Power Powerful"/>
        <s v="Pilates Cloth Bag Waterproof Durable High Capacity Purple"/>
        <s v="Konka Healty Electric Kettle, 24-hour Heat Preservation,1.5L,800W, White"/>
        <s v="Genebre 115 In 1 Screwdriver Repairing Tool Set For IPhone Cellphone Hand Tool"/>
        <s v="LED Wall Digital Alarm Clock Study Home 12 / 24H Clock Calendar"/>
        <s v="Portable Wardrobe Nonwoven With 3 Hanging Rods And 6 Storage Shelves"/>
        <s v="Office Chair Lumbar Back Support Spine Posture Correction Pillow Car Cushion"/>
        <s v="Wall-Mounted Toothbrush Toothpaste Holder With Multiple Slots"/>
        <s v="5 Pieces/set Of Stainless Steel Induction Cooker Pots"/>
        <s v="Outdoor Portable Water Bottle With Medicine Box - 600ML - Black"/>
        <s v="220V 60W Electric Soldering Iron Kits With Tools, Tips, And Multimeter"/>
        <s v="Wall Mount Automatic Toothpaste Dispenser Toothbrush Holder Toothpaste Squeezer"/>
        <s v="Cushion Silicone Butt Cushion Summer Ice Cushion Honeycomb Gel Cushion"/>
        <s v="Metal Wall Clock Silver Dial Crystal Jewelry Round Home Decoration Wall Clock"/>
        <s v="Multi-purpose Rice Drainage Basket And Fruit And Vegetable Drainage Sieve"/>
        <s v="Shower Cap Wide Elastic Band Cover Reusable Bashroom Cap"/>
        <s v="Pen Grips For Kids Pen Grip Posture Correction Tool For Kids"/>
        <s v="2 Pairs Cowhide Split Leather Work Gloves.32â„‰ Or Above Welding Gloves"/>
        <s v="Portable Soap Dispenser Kitchen Detergent Press Box Kitchen Tools"/>
        <s v="Shower Nozzle Cleaning Unclogging Needle Mini Crevice Small Hole Cleaning Brush"/>
        <s v="Thickening Multipurpose Non Stick Easy To Clean Heat Resistant Spoon Pad"/>
        <s v="24 Grid Wall-mounted Sundries Organiser Fabric Closet Bag Storage Rack" u="1"/>
      </sharedItems>
    </cacheField>
    <cacheField name="Current price" numFmtId="2">
      <sharedItems containsSemiMixedTypes="0" containsString="0" containsNumber="1" containsInteger="1" minValue="38" maxValue="3750"/>
    </cacheField>
    <cacheField name="old price" numFmtId="2">
      <sharedItems containsSemiMixedTypes="0" containsString="0" containsNumber="1" containsInteger="1" minValue="80" maxValue="6143"/>
    </cacheField>
    <cacheField name="Discount" numFmtId="9">
      <sharedItems containsSemiMixedTypes="0" containsString="0" containsNumber="1" minValue="0.02" maxValue="0.64" count="45">
        <n v="0.64"/>
        <n v="0.61"/>
        <n v="0.55000000000000004"/>
        <n v="0.54"/>
        <n v="0.53"/>
        <n v="0.52"/>
        <n v="0.51"/>
        <n v="0.5"/>
        <n v="0.49"/>
        <n v="0.48"/>
        <n v="0.47"/>
        <n v="0.46"/>
        <n v="0.45"/>
        <n v="0.43"/>
        <n v="0.42"/>
        <n v="0.41"/>
        <n v="0.4"/>
        <n v="0.39"/>
        <n v="0.38"/>
        <n v="0.37"/>
        <n v="0.36"/>
        <n v="0.35"/>
        <n v="0.34"/>
        <n v="0.33"/>
        <n v="0.32"/>
        <n v="0.3"/>
        <n v="0.28999999999999998"/>
        <n v="0.27"/>
        <n v="0.26"/>
        <n v="0.25"/>
        <n v="0.24"/>
        <n v="0.23"/>
        <n v="0.22"/>
        <n v="0.21"/>
        <n v="0.2"/>
        <n v="0.19"/>
        <n v="0.18"/>
        <n v="0.14000000000000001"/>
        <n v="0.13"/>
        <n v="0.11"/>
        <n v="0.09"/>
        <n v="0.08"/>
        <n v="0.04"/>
        <n v="0.03"/>
        <n v="0.02"/>
      </sharedItems>
      <fieldGroup base="3">
        <rangePr startNum="0.02" endNum="0.64" groupInterval="0.05"/>
        <groupItems count="15">
          <s v="&lt;0.02"/>
          <s v="0.02-0.07"/>
          <s v="0.07-0.12"/>
          <s v="0.12-0.17"/>
          <s v="0.17-0.22"/>
          <s v="0.22-0.27"/>
          <s v="0.27-0.32"/>
          <s v="0.32-0.37"/>
          <s v="0.37-0.42"/>
          <s v="0.42-0.47"/>
          <s v="0.47-0.52"/>
          <s v="0.52-0.57"/>
          <s v="0.57-0.62"/>
          <s v="0.62-0.67"/>
          <s v="&gt;0.67"/>
        </groupItems>
      </fieldGroup>
    </cacheField>
    <cacheField name="Review" numFmtId="0">
      <sharedItems containsSemiMixedTypes="0" containsString="0" containsNumber="1" containsInteger="1" minValue="0" maxValue="69"/>
    </cacheField>
    <cacheField name="Rating" numFmtId="0">
      <sharedItems containsMixedTypes="1" containsNumber="1" minValue="2" maxValue="5" count="23">
        <s v="N/A"/>
        <n v="2.1"/>
        <n v="4.8"/>
        <n v="3"/>
        <n v="4.3"/>
        <n v="3.3"/>
        <n v="2.7"/>
        <n v="5"/>
        <n v="2.2999999999999998"/>
        <n v="2"/>
        <n v="2.8"/>
        <n v="4.5999999999999996"/>
        <n v="4"/>
        <n v="4.0999999999999996"/>
        <n v="2.2000000000000002"/>
        <n v="2.6"/>
        <n v="3.8"/>
        <n v="4.5"/>
        <n v="4.7"/>
        <n v="4.2"/>
        <n v="4.4000000000000004"/>
        <n v="2.9"/>
        <n v="2.5"/>
      </sharedItems>
    </cacheField>
    <cacheField name="Discount amount(ksh)" numFmtId="165">
      <sharedItems containsSemiMixedTypes="0" containsString="0" containsNumber="1" containsInteger="1" minValue="31" maxValue="2585"/>
    </cacheField>
    <cacheField name="Rating category" numFmtId="0">
      <sharedItems count="4">
        <s v="N/A"/>
        <s v="poor"/>
        <s v="excellent"/>
        <s v="average"/>
      </sharedItems>
    </cacheField>
    <cacheField name="Discount category" numFmtId="0">
      <sharedItems containsBlank="1" count="4">
        <s v="HIGH DISCOUNT"/>
        <s v="MEDIUM DISCOUNT"/>
        <s v="LOW DISCOUNT"/>
        <m u="1"/>
      </sharedItems>
    </cacheField>
  </cacheFields>
  <extLst>
    <ext xmlns:x14="http://schemas.microsoft.com/office/spreadsheetml/2009/9/main" uri="{725AE2AE-9491-48be-B2B4-4EB974FC3084}">
      <x14:pivotCacheDefinition pivotCacheId="2377891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x v="0"/>
    <n v="950"/>
    <n v="1525"/>
    <n v="0.38"/>
    <n v="2"/>
    <x v="0"/>
    <n v="575"/>
    <x v="0"/>
    <x v="0"/>
  </r>
  <r>
    <x v="1"/>
    <n v="527"/>
    <n v="999"/>
    <n v="0.47"/>
    <n v="14"/>
    <x v="1"/>
    <n v="472"/>
    <x v="1"/>
    <x v="1"/>
  </r>
  <r>
    <x v="2"/>
    <n v="2199"/>
    <n v="2923"/>
    <n v="0.25"/>
    <n v="24"/>
    <x v="2"/>
    <n v="724"/>
    <x v="0"/>
    <x v="0"/>
  </r>
  <r>
    <x v="3"/>
    <n v="1580"/>
    <n v="2499"/>
    <n v="0.37"/>
    <n v="7"/>
    <x v="3"/>
    <n v="919"/>
    <x v="0"/>
    <x v="0"/>
  </r>
  <r>
    <x v="4"/>
    <n v="1740"/>
    <n v="2356"/>
    <n v="0.26"/>
    <n v="5"/>
    <x v="4"/>
    <n v="616"/>
    <x v="0"/>
    <x v="0"/>
  </r>
  <r>
    <x v="5"/>
    <n v="2999"/>
    <n v="3290"/>
    <n v="0.09"/>
    <n v="15"/>
    <x v="5"/>
    <n v="291"/>
    <x v="1"/>
    <x v="2"/>
  </r>
  <r>
    <x v="6"/>
    <n v="2319"/>
    <n v="3032"/>
    <n v="0.24"/>
    <n v="55"/>
    <x v="2"/>
    <n v="713"/>
    <x v="0"/>
    <x v="0"/>
  </r>
  <r>
    <x v="7"/>
    <n v="988"/>
    <n v="1580"/>
    <n v="0.37"/>
    <n v="2"/>
    <x v="5"/>
    <n v="592"/>
    <x v="1"/>
    <x v="0"/>
  </r>
  <r>
    <x v="8"/>
    <n v="1274"/>
    <n v="2800"/>
    <n v="0.55000000000000004"/>
    <n v="5"/>
    <x v="4"/>
    <n v="1526"/>
    <x v="0"/>
    <x v="1"/>
  </r>
  <r>
    <x v="9"/>
    <n v="1600"/>
    <n v="2929"/>
    <n v="0.45"/>
    <n v="5"/>
    <x v="6"/>
    <n v="1329"/>
    <x v="1"/>
    <x v="1"/>
  </r>
  <r>
    <x v="10"/>
    <n v="799"/>
    <n v="999"/>
    <n v="0.2"/>
    <n v="12"/>
    <x v="1"/>
    <n v="200"/>
    <x v="1"/>
    <x v="2"/>
  </r>
  <r>
    <x v="11"/>
    <n v="990"/>
    <n v="1500"/>
    <n v="0.34"/>
    <n v="39"/>
    <x v="3"/>
    <n v="510"/>
    <x v="0"/>
    <x v="0"/>
  </r>
  <r>
    <x v="12"/>
    <n v="552"/>
    <n v="1035"/>
    <n v="0.47"/>
    <n v="12"/>
    <x v="4"/>
    <n v="483"/>
    <x v="0"/>
    <x v="1"/>
  </r>
  <r>
    <x v="13"/>
    <n v="501"/>
    <n v="860"/>
    <n v="0.42"/>
    <n v="6"/>
    <x v="0"/>
    <n v="359"/>
    <x v="0"/>
    <x v="1"/>
  </r>
  <r>
    <x v="14"/>
    <n v="1680"/>
    <n v="2499"/>
    <n v="0.33"/>
    <n v="9"/>
    <x v="7"/>
    <n v="819"/>
    <x v="1"/>
    <x v="0"/>
  </r>
  <r>
    <x v="15"/>
    <n v="332"/>
    <n v="684"/>
    <n v="0.51"/>
    <n v="2"/>
    <x v="8"/>
    <n v="352"/>
    <x v="0"/>
    <x v="1"/>
  </r>
  <r>
    <x v="16"/>
    <n v="195"/>
    <n v="360"/>
    <n v="0.46"/>
    <n v="2"/>
    <x v="8"/>
    <n v="165"/>
    <x v="0"/>
    <x v="1"/>
  </r>
  <r>
    <x v="17"/>
    <n v="2025"/>
    <n v="3971"/>
    <n v="0.49"/>
    <n v="3"/>
    <x v="8"/>
    <n v="1946"/>
    <x v="0"/>
    <x v="1"/>
  </r>
  <r>
    <x v="18"/>
    <n v="2999"/>
    <n v="3699"/>
    <n v="0.19"/>
    <n v="5"/>
    <x v="2"/>
    <n v="700"/>
    <x v="0"/>
    <x v="2"/>
  </r>
  <r>
    <x v="19"/>
    <n v="998"/>
    <n v="1966"/>
    <n v="0.49"/>
    <n v="44"/>
    <x v="2"/>
    <n v="968"/>
    <x v="0"/>
    <x v="1"/>
  </r>
  <r>
    <x v="20"/>
    <n v="38"/>
    <n v="80"/>
    <n v="0.53"/>
    <n v="13"/>
    <x v="9"/>
    <n v="42"/>
    <x v="1"/>
    <x v="1"/>
  </r>
  <r>
    <x v="21"/>
    <n v="1860"/>
    <n v="3220"/>
    <n v="0.42"/>
    <n v="0"/>
    <x v="10"/>
    <n v="1360"/>
    <x v="0"/>
    <x v="1"/>
  </r>
  <r>
    <x v="22"/>
    <n v="880"/>
    <n v="1350"/>
    <n v="0.35"/>
    <n v="6"/>
    <x v="5"/>
    <n v="470"/>
    <x v="1"/>
    <x v="0"/>
  </r>
  <r>
    <x v="23"/>
    <n v="1650"/>
    <n v="2150"/>
    <n v="0.23"/>
    <n v="14"/>
    <x v="11"/>
    <n v="500"/>
    <x v="1"/>
    <x v="0"/>
  </r>
  <r>
    <x v="24"/>
    <n v="2048"/>
    <n v="4500"/>
    <n v="0.54"/>
    <n v="7"/>
    <x v="12"/>
    <n v="2452"/>
    <x v="1"/>
    <x v="1"/>
  </r>
  <r>
    <x v="25"/>
    <n v="420"/>
    <n v="647"/>
    <n v="0.35"/>
    <n v="49"/>
    <x v="2"/>
    <n v="227"/>
    <x v="0"/>
    <x v="0"/>
  </r>
  <r>
    <x v="26"/>
    <n v="2880"/>
    <n v="3520"/>
    <n v="0.18"/>
    <n v="12"/>
    <x v="6"/>
    <n v="640"/>
    <x v="1"/>
    <x v="2"/>
  </r>
  <r>
    <x v="27"/>
    <n v="1350"/>
    <n v="1990"/>
    <n v="0.32"/>
    <n v="13"/>
    <x v="6"/>
    <n v="640"/>
    <x v="1"/>
    <x v="0"/>
  </r>
  <r>
    <x v="28"/>
    <n v="1758"/>
    <n v="2499"/>
    <n v="0.3"/>
    <n v="20"/>
    <x v="1"/>
    <n v="741"/>
    <x v="1"/>
    <x v="0"/>
  </r>
  <r>
    <x v="29"/>
    <n v="2200"/>
    <n v="4080"/>
    <n v="0.46"/>
    <n v="0"/>
    <x v="10"/>
    <n v="1880"/>
    <x v="0"/>
    <x v="1"/>
  </r>
  <r>
    <x v="30"/>
    <n v="185"/>
    <n v="382"/>
    <n v="0.52"/>
    <n v="9"/>
    <x v="12"/>
    <n v="197"/>
    <x v="1"/>
    <x v="1"/>
  </r>
  <r>
    <x v="31"/>
    <n v="980"/>
    <n v="1490"/>
    <n v="0.34"/>
    <n v="12"/>
    <x v="3"/>
    <n v="510"/>
    <x v="0"/>
    <x v="0"/>
  </r>
  <r>
    <x v="32"/>
    <n v="1820"/>
    <n v="3490"/>
    <n v="0.48"/>
    <n v="9"/>
    <x v="12"/>
    <n v="1670"/>
    <x v="1"/>
    <x v="1"/>
  </r>
  <r>
    <x v="33"/>
    <n v="1940"/>
    <n v="2650"/>
    <n v="0.27"/>
    <n v="20"/>
    <x v="12"/>
    <n v="710"/>
    <x v="1"/>
    <x v="0"/>
  </r>
  <r>
    <x v="34"/>
    <n v="1980"/>
    <n v="2699"/>
    <n v="0.27"/>
    <n v="32"/>
    <x v="12"/>
    <n v="719"/>
    <x v="1"/>
    <x v="0"/>
  </r>
  <r>
    <x v="35"/>
    <n v="1620"/>
    <n v="2690"/>
    <n v="0.4"/>
    <n v="1"/>
    <x v="12"/>
    <n v="1070"/>
    <x v="1"/>
    <x v="0"/>
  </r>
  <r>
    <x v="36"/>
    <n v="171"/>
    <n v="360"/>
    <n v="0.53"/>
    <n v="2"/>
    <x v="12"/>
    <n v="189"/>
    <x v="1"/>
    <x v="1"/>
  </r>
  <r>
    <x v="37"/>
    <n v="389"/>
    <n v="656"/>
    <n v="0.41"/>
    <n v="36"/>
    <x v="12"/>
    <n v="267"/>
    <x v="1"/>
    <x v="1"/>
  </r>
  <r>
    <x v="38"/>
    <n v="1800"/>
    <n v="2700"/>
    <n v="0.38"/>
    <n v="2"/>
    <x v="12"/>
    <n v="900"/>
    <x v="1"/>
    <x v="0"/>
  </r>
  <r>
    <x v="39"/>
    <n v="2750"/>
    <n v="4471"/>
    <n v="0.38"/>
    <n v="0"/>
    <x v="10"/>
    <n v="1721"/>
    <x v="0"/>
    <x v="0"/>
  </r>
  <r>
    <x v="40"/>
    <n v="475"/>
    <n v="931"/>
    <n v="0.49"/>
    <n v="0"/>
    <x v="10"/>
    <n v="456"/>
    <x v="0"/>
    <x v="1"/>
  </r>
  <r>
    <x v="41"/>
    <n v="238"/>
    <n v="476"/>
    <n v="0.5"/>
    <n v="0"/>
    <x v="10"/>
    <n v="238"/>
    <x v="0"/>
    <x v="1"/>
  </r>
  <r>
    <x v="42"/>
    <n v="2132"/>
    <n v="2169"/>
    <n v="0.02"/>
    <n v="0"/>
    <x v="10"/>
    <n v="37"/>
    <x v="0"/>
    <x v="2"/>
  </r>
  <r>
    <x v="43"/>
    <n v="999"/>
    <n v="2000"/>
    <n v="0.5"/>
    <n v="0"/>
    <x v="10"/>
    <n v="1001"/>
    <x v="0"/>
    <x v="1"/>
  </r>
  <r>
    <x v="44"/>
    <n v="1190"/>
    <n v="1785"/>
    <n v="0.33"/>
    <n v="0"/>
    <x v="10"/>
    <n v="595"/>
    <x v="0"/>
    <x v="0"/>
  </r>
  <r>
    <x v="45"/>
    <n v="671"/>
    <n v="1316"/>
    <n v="0.49"/>
    <n v="0"/>
    <x v="10"/>
    <n v="645"/>
    <x v="0"/>
    <x v="1"/>
  </r>
  <r>
    <x v="46"/>
    <n v="1200"/>
    <n v="1950"/>
    <n v="0.38"/>
    <n v="0"/>
    <x v="10"/>
    <n v="750"/>
    <x v="0"/>
    <x v="0"/>
  </r>
  <r>
    <x v="47"/>
    <n v="299"/>
    <n v="600"/>
    <n v="0.5"/>
    <n v="0"/>
    <x v="10"/>
    <n v="301"/>
    <x v="0"/>
    <x v="1"/>
  </r>
  <r>
    <x v="48"/>
    <n v="1660"/>
    <n v="1699"/>
    <n v="0.02"/>
    <n v="0"/>
    <x v="10"/>
    <n v="39"/>
    <x v="0"/>
    <x v="2"/>
  </r>
  <r>
    <x v="49"/>
    <n v="299"/>
    <n v="384"/>
    <n v="0.22"/>
    <n v="0"/>
    <x v="10"/>
    <n v="85"/>
    <x v="0"/>
    <x v="0"/>
  </r>
  <r>
    <x v="50"/>
    <n v="1459"/>
    <n v="1499"/>
    <n v="0.03"/>
    <n v="0"/>
    <x v="10"/>
    <n v="40"/>
    <x v="0"/>
    <x v="2"/>
  </r>
  <r>
    <x v="51"/>
    <n v="799"/>
    <n v="1343"/>
    <n v="0.41"/>
    <n v="0"/>
    <x v="10"/>
    <n v="544"/>
    <x v="0"/>
    <x v="1"/>
  </r>
  <r>
    <x v="52"/>
    <n v="699"/>
    <n v="1343"/>
    <n v="0.48"/>
    <n v="0"/>
    <x v="10"/>
    <n v="644"/>
    <x v="0"/>
    <x v="1"/>
  </r>
  <r>
    <x v="53"/>
    <n v="2799"/>
    <n v="3810"/>
    <n v="0.27"/>
    <n v="0"/>
    <x v="10"/>
    <n v="1011"/>
    <x v="0"/>
    <x v="0"/>
  </r>
  <r>
    <x v="54"/>
    <n v="2170"/>
    <n v="2500"/>
    <n v="0.13"/>
    <n v="6"/>
    <x v="13"/>
    <n v="330"/>
    <x v="2"/>
    <x v="2"/>
  </r>
  <r>
    <x v="55"/>
    <n v="458"/>
    <n v="986"/>
    <n v="0.54"/>
    <n v="10"/>
    <x v="14"/>
    <n v="528"/>
    <x v="2"/>
    <x v="1"/>
  </r>
  <r>
    <x v="56"/>
    <n v="2115"/>
    <n v="4700"/>
    <n v="0.55000000000000004"/>
    <n v="13"/>
    <x v="15"/>
    <n v="2585"/>
    <x v="2"/>
    <x v="1"/>
  </r>
  <r>
    <x v="57"/>
    <n v="445"/>
    <n v="873"/>
    <n v="0.49"/>
    <n v="69"/>
    <x v="16"/>
    <n v="428"/>
    <x v="2"/>
    <x v="1"/>
  </r>
  <r>
    <x v="58"/>
    <n v="325"/>
    <n v="680"/>
    <n v="0.52"/>
    <n v="15"/>
    <x v="17"/>
    <n v="355"/>
    <x v="2"/>
    <x v="1"/>
  </r>
  <r>
    <x v="59"/>
    <n v="1220"/>
    <n v="1555"/>
    <n v="0.22"/>
    <n v="16"/>
    <x v="18"/>
    <n v="335"/>
    <x v="2"/>
    <x v="0"/>
  </r>
  <r>
    <x v="60"/>
    <n v="990"/>
    <n v="1814"/>
    <n v="0.45"/>
    <n v="6"/>
    <x v="19"/>
    <n v="824"/>
    <x v="2"/>
    <x v="1"/>
  </r>
  <r>
    <x v="61"/>
    <n v="1000"/>
    <n v="2000"/>
    <n v="0.5"/>
    <n v="7"/>
    <x v="20"/>
    <n v="1000"/>
    <x v="2"/>
    <x v="1"/>
  </r>
  <r>
    <x v="62"/>
    <n v="3750"/>
    <n v="6143"/>
    <n v="0.39"/>
    <n v="5"/>
    <x v="14"/>
    <n v="2393"/>
    <x v="2"/>
    <x v="0"/>
  </r>
  <r>
    <x v="63"/>
    <n v="382"/>
    <n v="700"/>
    <n v="0.45"/>
    <n v="17"/>
    <x v="21"/>
    <n v="318"/>
    <x v="2"/>
    <x v="1"/>
  </r>
  <r>
    <x v="64"/>
    <n v="2300"/>
    <n v="3240"/>
    <n v="0.28999999999999998"/>
    <n v="5"/>
    <x v="14"/>
    <n v="940"/>
    <x v="2"/>
    <x v="0"/>
  </r>
  <r>
    <x v="65"/>
    <n v="345"/>
    <n v="602"/>
    <n v="0.43"/>
    <n v="6"/>
    <x v="20"/>
    <n v="257"/>
    <x v="2"/>
    <x v="1"/>
  </r>
  <r>
    <x v="66"/>
    <n v="509"/>
    <n v="899"/>
    <n v="0.43"/>
    <n v="5"/>
    <x v="14"/>
    <e v="#REF!"/>
    <x v="2"/>
    <x v="1"/>
  </r>
  <r>
    <x v="67"/>
    <n v="968"/>
    <n v="1814"/>
    <n v="0.47"/>
    <n v="6"/>
    <x v="19"/>
    <e v="#REF!"/>
    <x v="2"/>
    <x v="1"/>
  </r>
  <r>
    <x v="68"/>
    <n v="1570"/>
    <n v="2988"/>
    <n v="0.47"/>
    <n v="7"/>
    <x v="15"/>
    <e v="#REF!"/>
    <x v="2"/>
    <x v="1"/>
  </r>
  <r>
    <x v="69"/>
    <n v="790"/>
    <n v="1485"/>
    <n v="0.47"/>
    <n v="0"/>
    <x v="10"/>
    <e v="#REF!"/>
    <x v="0"/>
    <x v="1"/>
  </r>
  <r>
    <x v="70"/>
    <n v="690"/>
    <n v="1200"/>
    <n v="0.43"/>
    <n v="0"/>
    <x v="10"/>
    <e v="#REF!"/>
    <x v="0"/>
    <x v="1"/>
  </r>
  <r>
    <x v="71"/>
    <n v="1732"/>
    <n v="1799"/>
    <n v="0.04"/>
    <n v="0"/>
    <x v="10"/>
    <e v="#VALUE!"/>
    <x v="0"/>
    <x v="2"/>
  </r>
  <r>
    <x v="72"/>
    <n v="230"/>
    <n v="450"/>
    <n v="0.49"/>
    <n v="0"/>
    <x v="10"/>
    <n v="575"/>
    <x v="0"/>
    <x v="1"/>
  </r>
  <r>
    <x v="73"/>
    <n v="1189"/>
    <n v="2199"/>
    <n v="0.46"/>
    <n v="1"/>
    <x v="14"/>
    <n v="472"/>
    <x v="2"/>
    <x v="1"/>
  </r>
  <r>
    <x v="74"/>
    <n v="979"/>
    <n v="1920"/>
    <n v="0.49"/>
    <n v="1"/>
    <x v="8"/>
    <n v="724"/>
    <x v="0"/>
    <x v="1"/>
  </r>
  <r>
    <x v="75"/>
    <n v="1460"/>
    <n v="2290"/>
    <n v="0.36"/>
    <n v="0"/>
    <x v="10"/>
    <n v="919"/>
    <x v="0"/>
    <x v="0"/>
  </r>
  <r>
    <x v="76"/>
    <n v="1666"/>
    <n v="1699"/>
    <n v="0.02"/>
    <n v="0"/>
    <x v="10"/>
    <n v="616"/>
    <x v="0"/>
    <x v="2"/>
  </r>
  <r>
    <x v="77"/>
    <n v="330"/>
    <n v="647"/>
    <n v="0.49"/>
    <n v="1"/>
    <x v="5"/>
    <n v="291"/>
    <x v="1"/>
    <x v="1"/>
  </r>
  <r>
    <x v="78"/>
    <n v="1466"/>
    <n v="1699"/>
    <n v="0.14000000000000001"/>
    <n v="0"/>
    <x v="10"/>
    <n v="713"/>
    <x v="0"/>
    <x v="2"/>
  </r>
  <r>
    <x v="79"/>
    <n v="274"/>
    <n v="537"/>
    <n v="0.49"/>
    <n v="0"/>
    <x v="10"/>
    <n v="592"/>
    <x v="0"/>
    <x v="1"/>
  </r>
  <r>
    <x v="80"/>
    <n v="799"/>
    <n v="900"/>
    <n v="0.11"/>
    <n v="0"/>
    <x v="10"/>
    <n v="1526"/>
    <x v="0"/>
    <x v="2"/>
  </r>
  <r>
    <x v="81"/>
    <n v="1468"/>
    <n v="1699"/>
    <n v="0.14000000000000001"/>
    <n v="0"/>
    <x v="10"/>
    <n v="1329"/>
    <x v="0"/>
    <x v="2"/>
  </r>
  <r>
    <x v="82"/>
    <n v="630"/>
    <n v="1100"/>
    <n v="0.43"/>
    <n v="0"/>
    <x v="10"/>
    <n v="200"/>
    <x v="0"/>
    <x v="1"/>
  </r>
  <r>
    <x v="83"/>
    <n v="850"/>
    <n v="1700"/>
    <n v="0.5"/>
    <n v="0"/>
    <x v="10"/>
    <n v="510"/>
    <x v="0"/>
    <x v="1"/>
  </r>
  <r>
    <x v="84"/>
    <n v="1300"/>
    <n v="2500"/>
    <n v="0.48"/>
    <n v="0"/>
    <x v="10"/>
    <n v="483"/>
    <x v="0"/>
    <x v="1"/>
  </r>
  <r>
    <x v="85"/>
    <n v="105"/>
    <n v="200"/>
    <n v="0.48"/>
    <n v="0"/>
    <x v="10"/>
    <n v="359"/>
    <x v="0"/>
    <x v="1"/>
  </r>
  <r>
    <x v="86"/>
    <n v="1200"/>
    <n v="2400"/>
    <n v="0.5"/>
    <n v="0"/>
    <x v="10"/>
    <n v="819"/>
    <x v="0"/>
    <x v="1"/>
  </r>
  <r>
    <x v="87"/>
    <n v="1526"/>
    <n v="1660"/>
    <n v="0.08"/>
    <n v="0"/>
    <x v="10"/>
    <n v="352"/>
    <x v="0"/>
    <x v="2"/>
  </r>
  <r>
    <x v="88"/>
    <n v="1462"/>
    <n v="1499"/>
    <n v="0.02"/>
    <n v="0"/>
    <x v="10"/>
    <n v="165"/>
    <x v="0"/>
    <x v="2"/>
  </r>
  <r>
    <x v="89"/>
    <n v="248"/>
    <n v="486"/>
    <n v="0.49"/>
    <n v="0"/>
    <x v="10"/>
    <n v="1946"/>
    <x v="0"/>
    <x v="1"/>
  </r>
  <r>
    <x v="90"/>
    <n v="3546"/>
    <n v="3699"/>
    <n v="0.04"/>
    <n v="0"/>
    <x v="10"/>
    <n v="700"/>
    <x v="0"/>
    <x v="2"/>
  </r>
  <r>
    <x v="91"/>
    <n v="525"/>
    <n v="1029"/>
    <n v="0.49"/>
    <n v="0"/>
    <x v="10"/>
    <n v="968"/>
    <x v="0"/>
    <x v="1"/>
  </r>
  <r>
    <x v="92"/>
    <n v="1080"/>
    <n v="1874"/>
    <n v="0.42"/>
    <n v="0"/>
    <x v="10"/>
    <n v="42"/>
    <x v="0"/>
    <x v="1"/>
  </r>
  <r>
    <x v="93"/>
    <n v="3640"/>
    <n v="4588"/>
    <n v="0.21"/>
    <n v="1"/>
    <x v="8"/>
    <n v="1360"/>
    <x v="0"/>
    <x v="0"/>
  </r>
  <r>
    <x v="94"/>
    <n v="1420"/>
    <n v="2420"/>
    <n v="0.41"/>
    <n v="0"/>
    <x v="10"/>
    <n v="470"/>
    <x v="0"/>
    <x v="1"/>
  </r>
  <r>
    <x v="95"/>
    <n v="1875"/>
    <n v="1899"/>
    <n v="0.01"/>
    <n v="0"/>
    <x v="10"/>
    <n v="500"/>
    <x v="0"/>
    <x v="2"/>
  </r>
  <r>
    <x v="96"/>
    <n v="198"/>
    <n v="260"/>
    <n v="0.24"/>
    <n v="0"/>
    <x v="10"/>
    <n v="2452"/>
    <x v="0"/>
    <x v="0"/>
  </r>
  <r>
    <x v="97"/>
    <n v="1150"/>
    <n v="1737"/>
    <n v="0.34"/>
    <n v="0"/>
    <x v="10"/>
    <n v="227"/>
    <x v="0"/>
    <x v="0"/>
  </r>
  <r>
    <x v="98"/>
    <n v="1190"/>
    <n v="1810"/>
    <n v="0.34"/>
    <n v="0"/>
    <x v="10"/>
    <n v="640"/>
    <x v="0"/>
    <x v="0"/>
  </r>
  <r>
    <x v="99"/>
    <n v="1658"/>
    <n v="1699"/>
    <n v="0.02"/>
    <n v="0"/>
    <x v="10"/>
    <n v="640"/>
    <x v="0"/>
    <x v="2"/>
  </r>
  <r>
    <x v="100"/>
    <n v="1768"/>
    <n v="1799"/>
    <n v="0.02"/>
    <n v="0"/>
    <x v="10"/>
    <n v="741"/>
    <x v="0"/>
    <x v="2"/>
  </r>
  <r>
    <x v="101"/>
    <n v="199"/>
    <n v="553"/>
    <n v="0.64"/>
    <n v="0"/>
    <x v="10"/>
    <n v="1880"/>
    <x v="0"/>
    <x v="1"/>
  </r>
  <r>
    <x v="102"/>
    <n v="450"/>
    <n v="900"/>
    <n v="0.5"/>
    <n v="1"/>
    <x v="22"/>
    <n v="197"/>
    <x v="2"/>
    <x v="1"/>
  </r>
  <r>
    <x v="103"/>
    <n v="169"/>
    <n v="320"/>
    <n v="0.47"/>
    <n v="0"/>
    <x v="10"/>
    <n v="510"/>
    <x v="0"/>
    <x v="1"/>
  </r>
  <r>
    <x v="104"/>
    <n v="610"/>
    <n v="1060"/>
    <n v="0.42"/>
    <n v="0"/>
    <x v="10"/>
    <n v="450"/>
    <x v="0"/>
    <x v="1"/>
  </r>
  <r>
    <x v="105"/>
    <n v="199"/>
    <n v="504"/>
    <n v="0.61"/>
    <n v="0"/>
    <x v="10"/>
    <n v="305"/>
    <x v="0"/>
    <x v="1"/>
  </r>
  <r>
    <x v="106"/>
    <n v="499"/>
    <n v="900"/>
    <n v="0.45"/>
    <n v="0"/>
    <x v="10"/>
    <n v="401"/>
    <x v="0"/>
    <x v="1"/>
  </r>
  <r>
    <x v="107"/>
    <n v="799"/>
    <n v="1567"/>
    <n v="0.49"/>
    <n v="0"/>
    <x v="10"/>
    <n v="768"/>
    <x v="0"/>
    <x v="1"/>
  </r>
  <r>
    <x v="106"/>
    <n v="399"/>
    <n v="896"/>
    <n v="0.55000000000000004"/>
    <n v="0"/>
    <x v="10"/>
    <n v="497"/>
    <x v="0"/>
    <x v="1"/>
  </r>
  <r>
    <x v="105"/>
    <n v="176"/>
    <n v="345"/>
    <n v="0.49"/>
    <n v="0"/>
    <x v="10"/>
    <n v="238"/>
    <x v="0"/>
    <x v="1"/>
  </r>
  <r>
    <x v="107"/>
    <n v="657"/>
    <n v="1288"/>
    <n v="0.49"/>
    <n v="0"/>
    <x v="10"/>
    <n v="37"/>
    <x v="0"/>
    <x v="1"/>
  </r>
  <r>
    <x v="108"/>
    <n v="899"/>
    <n v="1699"/>
    <n v="0.47"/>
    <n v="0"/>
    <x v="10"/>
    <n v="1001"/>
    <x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1">
  <r>
    <x v="0"/>
    <n v="199"/>
    <n v="553"/>
    <x v="0"/>
    <n v="0"/>
    <x v="0"/>
    <n v="354"/>
    <x v="0"/>
    <x v="0"/>
  </r>
  <r>
    <x v="1"/>
    <n v="199"/>
    <n v="504"/>
    <x v="1"/>
    <n v="0"/>
    <x v="0"/>
    <n v="305"/>
    <x v="0"/>
    <x v="0"/>
  </r>
  <r>
    <x v="2"/>
    <n v="2115"/>
    <n v="4700"/>
    <x v="2"/>
    <n v="13"/>
    <x v="1"/>
    <n v="2585"/>
    <x v="1"/>
    <x v="0"/>
  </r>
  <r>
    <x v="3"/>
    <n v="1274"/>
    <n v="2800"/>
    <x v="2"/>
    <n v="5"/>
    <x v="2"/>
    <n v="1526"/>
    <x v="2"/>
    <x v="0"/>
  </r>
  <r>
    <x v="4"/>
    <n v="399"/>
    <n v="896"/>
    <x v="2"/>
    <n v="0"/>
    <x v="0"/>
    <n v="497"/>
    <x v="0"/>
    <x v="0"/>
  </r>
  <r>
    <x v="5"/>
    <n v="458"/>
    <n v="986"/>
    <x v="3"/>
    <n v="10"/>
    <x v="3"/>
    <n v="528"/>
    <x v="3"/>
    <x v="0"/>
  </r>
  <r>
    <x v="6"/>
    <n v="2048"/>
    <n v="4500"/>
    <x v="3"/>
    <n v="7"/>
    <x v="4"/>
    <n v="2452"/>
    <x v="3"/>
    <x v="0"/>
  </r>
  <r>
    <x v="7"/>
    <n v="38"/>
    <n v="80"/>
    <x v="4"/>
    <n v="13"/>
    <x v="5"/>
    <n v="42"/>
    <x v="3"/>
    <x v="0"/>
  </r>
  <r>
    <x v="8"/>
    <n v="171"/>
    <n v="360"/>
    <x v="4"/>
    <n v="2"/>
    <x v="4"/>
    <n v="189"/>
    <x v="3"/>
    <x v="0"/>
  </r>
  <r>
    <x v="9"/>
    <n v="325"/>
    <n v="680"/>
    <x v="5"/>
    <n v="15"/>
    <x v="6"/>
    <n v="355"/>
    <x v="1"/>
    <x v="0"/>
  </r>
  <r>
    <x v="10"/>
    <n v="185"/>
    <n v="382"/>
    <x v="5"/>
    <n v="9"/>
    <x v="4"/>
    <n v="197"/>
    <x v="3"/>
    <x v="0"/>
  </r>
  <r>
    <x v="11"/>
    <n v="332"/>
    <n v="684"/>
    <x v="6"/>
    <n v="2"/>
    <x v="7"/>
    <n v="352"/>
    <x v="2"/>
    <x v="0"/>
  </r>
  <r>
    <x v="12"/>
    <n v="1000"/>
    <n v="2000"/>
    <x v="7"/>
    <n v="7"/>
    <x v="8"/>
    <n v="1000"/>
    <x v="1"/>
    <x v="0"/>
  </r>
  <r>
    <x v="13"/>
    <n v="450"/>
    <n v="900"/>
    <x v="7"/>
    <n v="1"/>
    <x v="9"/>
    <n v="450"/>
    <x v="1"/>
    <x v="0"/>
  </r>
  <r>
    <x v="14"/>
    <n v="238"/>
    <n v="476"/>
    <x v="7"/>
    <n v="0"/>
    <x v="0"/>
    <n v="238"/>
    <x v="0"/>
    <x v="0"/>
  </r>
  <r>
    <x v="15"/>
    <n v="999"/>
    <n v="2000"/>
    <x v="7"/>
    <n v="0"/>
    <x v="0"/>
    <n v="1001"/>
    <x v="0"/>
    <x v="0"/>
  </r>
  <r>
    <x v="16"/>
    <n v="299"/>
    <n v="600"/>
    <x v="7"/>
    <n v="0"/>
    <x v="0"/>
    <n v="301"/>
    <x v="0"/>
    <x v="0"/>
  </r>
  <r>
    <x v="17"/>
    <n v="850"/>
    <n v="1700"/>
    <x v="7"/>
    <n v="0"/>
    <x v="0"/>
    <n v="850"/>
    <x v="0"/>
    <x v="0"/>
  </r>
  <r>
    <x v="18"/>
    <n v="1200"/>
    <n v="2400"/>
    <x v="7"/>
    <n v="0"/>
    <x v="0"/>
    <n v="1200"/>
    <x v="0"/>
    <x v="0"/>
  </r>
  <r>
    <x v="19"/>
    <n v="445"/>
    <n v="873"/>
    <x v="8"/>
    <n v="69"/>
    <x v="10"/>
    <n v="428"/>
    <x v="1"/>
    <x v="0"/>
  </r>
  <r>
    <x v="20"/>
    <n v="998"/>
    <n v="1966"/>
    <x v="8"/>
    <n v="44"/>
    <x v="11"/>
    <n v="968"/>
    <x v="2"/>
    <x v="0"/>
  </r>
  <r>
    <x v="21"/>
    <n v="2025"/>
    <n v="3971"/>
    <x v="8"/>
    <n v="3"/>
    <x v="7"/>
    <n v="1946"/>
    <x v="2"/>
    <x v="0"/>
  </r>
  <r>
    <x v="22"/>
    <n v="979"/>
    <n v="1920"/>
    <x v="8"/>
    <n v="1"/>
    <x v="7"/>
    <n v="941"/>
    <x v="2"/>
    <x v="0"/>
  </r>
  <r>
    <x v="23"/>
    <n v="330"/>
    <n v="647"/>
    <x v="8"/>
    <n v="1"/>
    <x v="12"/>
    <n v="317"/>
    <x v="3"/>
    <x v="0"/>
  </r>
  <r>
    <x v="24"/>
    <n v="475"/>
    <n v="931"/>
    <x v="8"/>
    <n v="0"/>
    <x v="0"/>
    <n v="456"/>
    <x v="0"/>
    <x v="0"/>
  </r>
  <r>
    <x v="25"/>
    <n v="671"/>
    <n v="1316"/>
    <x v="8"/>
    <n v="0"/>
    <x v="0"/>
    <n v="645"/>
    <x v="0"/>
    <x v="0"/>
  </r>
  <r>
    <x v="26"/>
    <n v="230"/>
    <n v="450"/>
    <x v="8"/>
    <n v="0"/>
    <x v="0"/>
    <n v="220"/>
    <x v="0"/>
    <x v="0"/>
  </r>
  <r>
    <x v="27"/>
    <n v="274"/>
    <n v="537"/>
    <x v="8"/>
    <n v="0"/>
    <x v="0"/>
    <n v="263"/>
    <x v="0"/>
    <x v="0"/>
  </r>
  <r>
    <x v="28"/>
    <n v="248"/>
    <n v="486"/>
    <x v="8"/>
    <n v="0"/>
    <x v="0"/>
    <n v="238"/>
    <x v="0"/>
    <x v="0"/>
  </r>
  <r>
    <x v="29"/>
    <n v="525"/>
    <n v="1029"/>
    <x v="8"/>
    <n v="0"/>
    <x v="0"/>
    <n v="504"/>
    <x v="0"/>
    <x v="0"/>
  </r>
  <r>
    <x v="30"/>
    <n v="799"/>
    <n v="1567"/>
    <x v="8"/>
    <n v="0"/>
    <x v="0"/>
    <n v="768"/>
    <x v="0"/>
    <x v="0"/>
  </r>
  <r>
    <x v="1"/>
    <n v="176"/>
    <n v="345"/>
    <x v="8"/>
    <n v="0"/>
    <x v="0"/>
    <n v="169"/>
    <x v="0"/>
    <x v="0"/>
  </r>
  <r>
    <x v="30"/>
    <n v="657"/>
    <n v="1288"/>
    <x v="8"/>
    <n v="0"/>
    <x v="0"/>
    <n v="631"/>
    <x v="0"/>
    <x v="0"/>
  </r>
  <r>
    <x v="31"/>
    <n v="1820"/>
    <n v="3490"/>
    <x v="9"/>
    <n v="9"/>
    <x v="4"/>
    <n v="1670"/>
    <x v="3"/>
    <x v="0"/>
  </r>
  <r>
    <x v="32"/>
    <n v="699"/>
    <n v="1343"/>
    <x v="9"/>
    <n v="0"/>
    <x v="0"/>
    <n v="644"/>
    <x v="0"/>
    <x v="0"/>
  </r>
  <r>
    <x v="33"/>
    <n v="1300"/>
    <n v="2500"/>
    <x v="9"/>
    <n v="0"/>
    <x v="0"/>
    <n v="1200"/>
    <x v="0"/>
    <x v="0"/>
  </r>
  <r>
    <x v="34"/>
    <n v="105"/>
    <n v="200"/>
    <x v="9"/>
    <n v="0"/>
    <x v="0"/>
    <n v="95"/>
    <x v="0"/>
    <x v="0"/>
  </r>
  <r>
    <x v="35"/>
    <n v="527"/>
    <n v="999"/>
    <x v="10"/>
    <n v="14"/>
    <x v="13"/>
    <n v="472"/>
    <x v="3"/>
    <x v="0"/>
  </r>
  <r>
    <x v="36"/>
    <n v="552"/>
    <n v="1035"/>
    <x v="10"/>
    <n v="12"/>
    <x v="2"/>
    <n v="483"/>
    <x v="2"/>
    <x v="0"/>
  </r>
  <r>
    <x v="37"/>
    <n v="1570"/>
    <n v="2988"/>
    <x v="10"/>
    <n v="7"/>
    <x v="1"/>
    <n v="1418"/>
    <x v="1"/>
    <x v="0"/>
  </r>
  <r>
    <x v="38"/>
    <n v="968"/>
    <n v="1814"/>
    <x v="10"/>
    <n v="6"/>
    <x v="14"/>
    <n v="846"/>
    <x v="1"/>
    <x v="0"/>
  </r>
  <r>
    <x v="39"/>
    <n v="790"/>
    <n v="1485"/>
    <x v="10"/>
    <n v="0"/>
    <x v="0"/>
    <n v="695"/>
    <x v="0"/>
    <x v="0"/>
  </r>
  <r>
    <x v="40"/>
    <n v="169"/>
    <n v="320"/>
    <x v="10"/>
    <n v="0"/>
    <x v="0"/>
    <n v="151"/>
    <x v="0"/>
    <x v="0"/>
  </r>
  <r>
    <x v="41"/>
    <n v="899"/>
    <n v="1699"/>
    <x v="10"/>
    <n v="0"/>
    <x v="0"/>
    <n v="800"/>
    <x v="0"/>
    <x v="0"/>
  </r>
  <r>
    <x v="42"/>
    <n v="195"/>
    <n v="360"/>
    <x v="11"/>
    <n v="2"/>
    <x v="7"/>
    <n v="165"/>
    <x v="2"/>
    <x v="0"/>
  </r>
  <r>
    <x v="43"/>
    <n v="1189"/>
    <n v="2199"/>
    <x v="11"/>
    <n v="1"/>
    <x v="3"/>
    <n v="1010"/>
    <x v="3"/>
    <x v="0"/>
  </r>
  <r>
    <x v="44"/>
    <n v="2200"/>
    <n v="4080"/>
    <x v="11"/>
    <n v="0"/>
    <x v="0"/>
    <n v="1880"/>
    <x v="0"/>
    <x v="0"/>
  </r>
  <r>
    <x v="45"/>
    <n v="382"/>
    <n v="700"/>
    <x v="12"/>
    <n v="17"/>
    <x v="15"/>
    <n v="318"/>
    <x v="1"/>
    <x v="0"/>
  </r>
  <r>
    <x v="46"/>
    <n v="990"/>
    <n v="1814"/>
    <x v="12"/>
    <n v="6"/>
    <x v="14"/>
    <n v="824"/>
    <x v="1"/>
    <x v="0"/>
  </r>
  <r>
    <x v="47"/>
    <n v="1600"/>
    <n v="2929"/>
    <x v="12"/>
    <n v="5"/>
    <x v="16"/>
    <n v="1329"/>
    <x v="3"/>
    <x v="0"/>
  </r>
  <r>
    <x v="4"/>
    <n v="499"/>
    <n v="900"/>
    <x v="12"/>
    <n v="0"/>
    <x v="0"/>
    <n v="401"/>
    <x v="0"/>
    <x v="0"/>
  </r>
  <r>
    <x v="48"/>
    <n v="345"/>
    <n v="602"/>
    <x v="13"/>
    <n v="6"/>
    <x v="8"/>
    <n v="257"/>
    <x v="1"/>
    <x v="0"/>
  </r>
  <r>
    <x v="49"/>
    <n v="509"/>
    <n v="899"/>
    <x v="13"/>
    <n v="5"/>
    <x v="3"/>
    <n v="390"/>
    <x v="3"/>
    <x v="0"/>
  </r>
  <r>
    <x v="50"/>
    <n v="690"/>
    <n v="1200"/>
    <x v="13"/>
    <n v="0"/>
    <x v="0"/>
    <n v="510"/>
    <x v="0"/>
    <x v="0"/>
  </r>
  <r>
    <x v="51"/>
    <n v="630"/>
    <n v="1100"/>
    <x v="13"/>
    <n v="0"/>
    <x v="0"/>
    <n v="470"/>
    <x v="0"/>
    <x v="0"/>
  </r>
  <r>
    <x v="52"/>
    <n v="501"/>
    <n v="860"/>
    <x v="14"/>
    <n v="6"/>
    <x v="17"/>
    <n v="359"/>
    <x v="2"/>
    <x v="0"/>
  </r>
  <r>
    <x v="53"/>
    <n v="1860"/>
    <n v="3220"/>
    <x v="14"/>
    <n v="0"/>
    <x v="0"/>
    <n v="1360"/>
    <x v="0"/>
    <x v="0"/>
  </r>
  <r>
    <x v="54"/>
    <n v="1080"/>
    <n v="1874"/>
    <x v="14"/>
    <n v="0"/>
    <x v="0"/>
    <n v="794"/>
    <x v="0"/>
    <x v="0"/>
  </r>
  <r>
    <x v="55"/>
    <n v="610"/>
    <n v="1060"/>
    <x v="14"/>
    <n v="0"/>
    <x v="0"/>
    <n v="450"/>
    <x v="0"/>
    <x v="0"/>
  </r>
  <r>
    <x v="56"/>
    <n v="389"/>
    <n v="656"/>
    <x v="15"/>
    <n v="36"/>
    <x v="4"/>
    <n v="267"/>
    <x v="3"/>
    <x v="0"/>
  </r>
  <r>
    <x v="57"/>
    <n v="799"/>
    <n v="1343"/>
    <x v="15"/>
    <n v="0"/>
    <x v="0"/>
    <n v="544"/>
    <x v="0"/>
    <x v="0"/>
  </r>
  <r>
    <x v="58"/>
    <n v="1420"/>
    <n v="2420"/>
    <x v="15"/>
    <n v="0"/>
    <x v="0"/>
    <n v="1000"/>
    <x v="0"/>
    <x v="0"/>
  </r>
  <r>
    <x v="59"/>
    <n v="1620"/>
    <n v="2690"/>
    <x v="16"/>
    <n v="1"/>
    <x v="4"/>
    <n v="1070"/>
    <x v="3"/>
    <x v="1"/>
  </r>
  <r>
    <x v="60"/>
    <n v="3750"/>
    <n v="6143"/>
    <x v="17"/>
    <n v="5"/>
    <x v="3"/>
    <n v="2393"/>
    <x v="3"/>
    <x v="1"/>
  </r>
  <r>
    <x v="61"/>
    <n v="950"/>
    <n v="1525"/>
    <x v="18"/>
    <n v="2"/>
    <x v="17"/>
    <n v="575"/>
    <x v="2"/>
    <x v="1"/>
  </r>
  <r>
    <x v="62"/>
    <n v="1800"/>
    <n v="2700"/>
    <x v="18"/>
    <n v="2"/>
    <x v="4"/>
    <n v="900"/>
    <x v="3"/>
    <x v="1"/>
  </r>
  <r>
    <x v="63"/>
    <n v="2750"/>
    <n v="4471"/>
    <x v="18"/>
    <n v="0"/>
    <x v="0"/>
    <n v="1721"/>
    <x v="0"/>
    <x v="1"/>
  </r>
  <r>
    <x v="64"/>
    <n v="1200"/>
    <n v="1950"/>
    <x v="18"/>
    <n v="0"/>
    <x v="0"/>
    <n v="750"/>
    <x v="0"/>
    <x v="1"/>
  </r>
  <r>
    <x v="65"/>
    <n v="1580"/>
    <n v="2499"/>
    <x v="19"/>
    <n v="7"/>
    <x v="18"/>
    <n v="919"/>
    <x v="2"/>
    <x v="1"/>
  </r>
  <r>
    <x v="66"/>
    <n v="988"/>
    <n v="1580"/>
    <x v="19"/>
    <n v="2"/>
    <x v="12"/>
    <n v="592"/>
    <x v="3"/>
    <x v="1"/>
  </r>
  <r>
    <x v="67"/>
    <n v="1460"/>
    <n v="2290"/>
    <x v="20"/>
    <n v="0"/>
    <x v="0"/>
    <n v="830"/>
    <x v="0"/>
    <x v="1"/>
  </r>
  <r>
    <x v="68"/>
    <n v="420"/>
    <n v="647"/>
    <x v="21"/>
    <n v="49"/>
    <x v="11"/>
    <n v="227"/>
    <x v="2"/>
    <x v="1"/>
  </r>
  <r>
    <x v="69"/>
    <n v="880"/>
    <n v="1350"/>
    <x v="21"/>
    <n v="6"/>
    <x v="12"/>
    <n v="470"/>
    <x v="3"/>
    <x v="1"/>
  </r>
  <r>
    <x v="70"/>
    <n v="990"/>
    <n v="1500"/>
    <x v="22"/>
    <n v="39"/>
    <x v="18"/>
    <n v="510"/>
    <x v="2"/>
    <x v="1"/>
  </r>
  <r>
    <x v="71"/>
    <n v="980"/>
    <n v="1490"/>
    <x v="22"/>
    <n v="12"/>
    <x v="18"/>
    <n v="510"/>
    <x v="2"/>
    <x v="1"/>
  </r>
  <r>
    <x v="72"/>
    <n v="1150"/>
    <n v="1737"/>
    <x v="22"/>
    <n v="0"/>
    <x v="0"/>
    <n v="587"/>
    <x v="0"/>
    <x v="1"/>
  </r>
  <r>
    <x v="73"/>
    <n v="1190"/>
    <n v="1810"/>
    <x v="22"/>
    <n v="0"/>
    <x v="0"/>
    <n v="620"/>
    <x v="0"/>
    <x v="1"/>
  </r>
  <r>
    <x v="74"/>
    <n v="1680"/>
    <n v="2499"/>
    <x v="23"/>
    <n v="9"/>
    <x v="19"/>
    <n v="819"/>
    <x v="3"/>
    <x v="1"/>
  </r>
  <r>
    <x v="75"/>
    <n v="1190"/>
    <n v="1785"/>
    <x v="23"/>
    <n v="0"/>
    <x v="0"/>
    <n v="595"/>
    <x v="0"/>
    <x v="1"/>
  </r>
  <r>
    <x v="76"/>
    <n v="1350"/>
    <n v="1990"/>
    <x v="24"/>
    <n v="13"/>
    <x v="16"/>
    <n v="640"/>
    <x v="3"/>
    <x v="1"/>
  </r>
  <r>
    <x v="77"/>
    <n v="1758"/>
    <n v="2499"/>
    <x v="25"/>
    <n v="20"/>
    <x v="13"/>
    <n v="741"/>
    <x v="3"/>
    <x v="1"/>
  </r>
  <r>
    <x v="78"/>
    <n v="2300"/>
    <n v="3240"/>
    <x v="26"/>
    <n v="5"/>
    <x v="3"/>
    <n v="940"/>
    <x v="3"/>
    <x v="1"/>
  </r>
  <r>
    <x v="79"/>
    <n v="1980"/>
    <n v="2699"/>
    <x v="27"/>
    <n v="32"/>
    <x v="4"/>
    <n v="719"/>
    <x v="3"/>
    <x v="1"/>
  </r>
  <r>
    <x v="80"/>
    <n v="1940"/>
    <n v="2650"/>
    <x v="27"/>
    <n v="20"/>
    <x v="4"/>
    <n v="710"/>
    <x v="3"/>
    <x v="1"/>
  </r>
  <r>
    <x v="81"/>
    <n v="2799"/>
    <n v="3810"/>
    <x v="27"/>
    <n v="0"/>
    <x v="0"/>
    <n v="1011"/>
    <x v="0"/>
    <x v="1"/>
  </r>
  <r>
    <x v="82"/>
    <n v="1740"/>
    <n v="2356"/>
    <x v="28"/>
    <n v="5"/>
    <x v="2"/>
    <n v="616"/>
    <x v="2"/>
    <x v="1"/>
  </r>
  <r>
    <x v="83"/>
    <n v="2199"/>
    <n v="2923"/>
    <x v="29"/>
    <n v="24"/>
    <x v="11"/>
    <n v="724"/>
    <x v="2"/>
    <x v="1"/>
  </r>
  <r>
    <x v="84"/>
    <n v="2319"/>
    <n v="3032"/>
    <x v="30"/>
    <n v="55"/>
    <x v="11"/>
    <n v="713"/>
    <x v="2"/>
    <x v="1"/>
  </r>
  <r>
    <x v="85"/>
    <n v="198"/>
    <n v="260"/>
    <x v="30"/>
    <n v="0"/>
    <x v="0"/>
    <n v="62"/>
    <x v="0"/>
    <x v="1"/>
  </r>
  <r>
    <x v="86"/>
    <n v="1650"/>
    <n v="2150"/>
    <x v="31"/>
    <n v="14"/>
    <x v="20"/>
    <n v="500"/>
    <x v="3"/>
    <x v="1"/>
  </r>
  <r>
    <x v="87"/>
    <n v="1220"/>
    <n v="1555"/>
    <x v="32"/>
    <n v="16"/>
    <x v="21"/>
    <n v="335"/>
    <x v="1"/>
    <x v="1"/>
  </r>
  <r>
    <x v="88"/>
    <n v="299"/>
    <n v="384"/>
    <x v="32"/>
    <n v="0"/>
    <x v="0"/>
    <n v="85"/>
    <x v="0"/>
    <x v="1"/>
  </r>
  <r>
    <x v="89"/>
    <n v="3640"/>
    <n v="4588"/>
    <x v="33"/>
    <n v="1"/>
    <x v="7"/>
    <n v="948"/>
    <x v="2"/>
    <x v="1"/>
  </r>
  <r>
    <x v="90"/>
    <n v="799"/>
    <n v="999"/>
    <x v="34"/>
    <n v="12"/>
    <x v="13"/>
    <n v="200"/>
    <x v="3"/>
    <x v="2"/>
  </r>
  <r>
    <x v="91"/>
    <n v="2999"/>
    <n v="3699"/>
    <x v="35"/>
    <n v="5"/>
    <x v="11"/>
    <n v="700"/>
    <x v="2"/>
    <x v="2"/>
  </r>
  <r>
    <x v="92"/>
    <n v="2880"/>
    <n v="3520"/>
    <x v="36"/>
    <n v="12"/>
    <x v="16"/>
    <n v="640"/>
    <x v="3"/>
    <x v="2"/>
  </r>
  <r>
    <x v="93"/>
    <n v="1466"/>
    <n v="1699"/>
    <x v="37"/>
    <n v="0"/>
    <x v="0"/>
    <n v="233"/>
    <x v="0"/>
    <x v="2"/>
  </r>
  <r>
    <x v="94"/>
    <n v="1468"/>
    <n v="1699"/>
    <x v="37"/>
    <n v="0"/>
    <x v="0"/>
    <n v="231"/>
    <x v="0"/>
    <x v="2"/>
  </r>
  <r>
    <x v="95"/>
    <n v="2170"/>
    <n v="2500"/>
    <x v="38"/>
    <n v="6"/>
    <x v="22"/>
    <n v="330"/>
    <x v="1"/>
    <x v="2"/>
  </r>
  <r>
    <x v="96"/>
    <n v="799"/>
    <n v="900"/>
    <x v="39"/>
    <n v="0"/>
    <x v="0"/>
    <n v="101"/>
    <x v="0"/>
    <x v="2"/>
  </r>
  <r>
    <x v="97"/>
    <n v="2999"/>
    <n v="3290"/>
    <x v="40"/>
    <n v="15"/>
    <x v="12"/>
    <n v="291"/>
    <x v="3"/>
    <x v="2"/>
  </r>
  <r>
    <x v="98"/>
    <n v="1526"/>
    <n v="1660"/>
    <x v="41"/>
    <n v="0"/>
    <x v="0"/>
    <n v="134"/>
    <x v="0"/>
    <x v="2"/>
  </r>
  <r>
    <x v="99"/>
    <n v="1732"/>
    <n v="1799"/>
    <x v="42"/>
    <n v="0"/>
    <x v="0"/>
    <n v="67"/>
    <x v="0"/>
    <x v="2"/>
  </r>
  <r>
    <x v="100"/>
    <n v="3546"/>
    <n v="3699"/>
    <x v="42"/>
    <n v="0"/>
    <x v="0"/>
    <n v="153"/>
    <x v="0"/>
    <x v="2"/>
  </r>
  <r>
    <x v="101"/>
    <n v="1459"/>
    <n v="1499"/>
    <x v="43"/>
    <n v="0"/>
    <x v="0"/>
    <n v="40"/>
    <x v="0"/>
    <x v="2"/>
  </r>
  <r>
    <x v="102"/>
    <n v="2132"/>
    <n v="2169"/>
    <x v="44"/>
    <n v="0"/>
    <x v="0"/>
    <n v="37"/>
    <x v="0"/>
    <x v="2"/>
  </r>
  <r>
    <x v="103"/>
    <n v="1660"/>
    <n v="1699"/>
    <x v="44"/>
    <n v="0"/>
    <x v="0"/>
    <n v="39"/>
    <x v="0"/>
    <x v="2"/>
  </r>
  <r>
    <x v="104"/>
    <n v="1666"/>
    <n v="1699"/>
    <x v="44"/>
    <n v="0"/>
    <x v="0"/>
    <n v="33"/>
    <x v="0"/>
    <x v="2"/>
  </r>
  <r>
    <x v="105"/>
    <n v="1462"/>
    <n v="1499"/>
    <x v="44"/>
    <n v="0"/>
    <x v="0"/>
    <n v="37"/>
    <x v="0"/>
    <x v="2"/>
  </r>
  <r>
    <x v="106"/>
    <n v="1658"/>
    <n v="1699"/>
    <x v="44"/>
    <n v="0"/>
    <x v="0"/>
    <n v="41"/>
    <x v="0"/>
    <x v="2"/>
  </r>
  <r>
    <x v="107"/>
    <n v="1768"/>
    <n v="1799"/>
    <x v="44"/>
    <n v="0"/>
    <x v="0"/>
    <n v="31"/>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F1DA30-A646-426D-822F-CA69374580ED}" name="PivotTable4"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7" firstHeaderRow="1" firstDataRow="1" firstDataCol="1"/>
  <pivotFields count="9">
    <pivotField showAll="0"/>
    <pivotField numFmtId="2" showAll="0"/>
    <pivotField numFmtId="2" showAll="0"/>
    <pivotField axis="axisRow" numFmtId="9" showAll="0">
      <items count="16">
        <item x="0"/>
        <item x="1"/>
        <item x="2"/>
        <item x="3"/>
        <item x="4"/>
        <item x="5"/>
        <item x="6"/>
        <item x="7"/>
        <item x="8"/>
        <item x="9"/>
        <item x="10"/>
        <item x="11"/>
        <item x="12"/>
        <item x="13"/>
        <item x="14"/>
        <item t="default"/>
      </items>
    </pivotField>
    <pivotField dataField="1" showAll="0"/>
    <pivotField showAll="0"/>
    <pivotField numFmtId="165" showAll="0"/>
    <pivotField showAll="0"/>
    <pivotField showAll="0"/>
  </pivotFields>
  <rowFields count="1">
    <field x="3"/>
  </rowFields>
  <rowItems count="14">
    <i>
      <x v="1"/>
    </i>
    <i>
      <x v="2"/>
    </i>
    <i>
      <x v="3"/>
    </i>
    <i>
      <x v="4"/>
    </i>
    <i>
      <x v="5"/>
    </i>
    <i>
      <x v="6"/>
    </i>
    <i>
      <x v="7"/>
    </i>
    <i>
      <x v="8"/>
    </i>
    <i>
      <x v="9"/>
    </i>
    <i>
      <x v="10"/>
    </i>
    <i>
      <x v="11"/>
    </i>
    <i>
      <x v="12"/>
    </i>
    <i>
      <x v="13"/>
    </i>
    <i t="grand">
      <x/>
    </i>
  </rowItems>
  <colItems count="1">
    <i/>
  </colItems>
  <dataFields count="1">
    <dataField name="Sum of Review" fld="4"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49DB8A-0DA7-4508-8C93-9F923FD4A6C3}" name="PivotTable5"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26" firstHeaderRow="1" firstDataRow="1" firstDataCol="1"/>
  <pivotFields count="9">
    <pivotField showAll="0"/>
    <pivotField numFmtId="2" showAll="0"/>
    <pivotField numFmtId="2" showAll="0"/>
    <pivotField numFmtId="9" showAll="0"/>
    <pivotField dataField="1" showAll="0"/>
    <pivotField axis="axisRow" showAll="0">
      <items count="24">
        <item x="9"/>
        <item x="1"/>
        <item x="14"/>
        <item x="8"/>
        <item x="22"/>
        <item x="15"/>
        <item x="6"/>
        <item x="10"/>
        <item x="21"/>
        <item x="3"/>
        <item x="5"/>
        <item x="16"/>
        <item x="12"/>
        <item x="13"/>
        <item x="19"/>
        <item x="4"/>
        <item x="20"/>
        <item x="17"/>
        <item x="11"/>
        <item x="18"/>
        <item x="2"/>
        <item x="7"/>
        <item h="1" x="0"/>
        <item t="default"/>
      </items>
    </pivotField>
    <pivotField numFmtId="165" showAll="0"/>
    <pivotField showAll="0">
      <items count="5">
        <item h="1" x="3"/>
        <item h="1" x="2"/>
        <item h="1" x="0"/>
        <item x="1"/>
        <item t="default"/>
      </items>
    </pivotField>
    <pivotField showAll="0"/>
  </pivotFields>
  <rowFields count="1">
    <field x="5"/>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um of Review" fld="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B317CC-4F9B-4F7B-90AD-C24717F3D644}" name="PivotTable6"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2" firstHeaderRow="1" firstDataRow="1" firstDataCol="1"/>
  <pivotFields count="9">
    <pivotField axis="axisRow" showAll="0" sortType="descending">
      <items count="110">
        <item x="62"/>
        <item x="70"/>
        <item x="61"/>
        <item x="76"/>
        <item x="71"/>
        <item x="19"/>
        <item x="81"/>
        <item x="47"/>
        <item x="84"/>
        <item x="85"/>
        <item x="104"/>
        <item x="97"/>
        <item m="1" x="108"/>
        <item x="18"/>
        <item x="64"/>
        <item x="39"/>
        <item x="60"/>
        <item x="12"/>
        <item x="20"/>
        <item x="50"/>
        <item x="7"/>
        <item x="28"/>
        <item x="36"/>
        <item x="24"/>
        <item x="53"/>
        <item x="95"/>
        <item x="77"/>
        <item x="79"/>
        <item x="80"/>
        <item x="67"/>
        <item x="2"/>
        <item x="0"/>
        <item x="41"/>
        <item x="75"/>
        <item x="26"/>
        <item x="38"/>
        <item x="54"/>
        <item x="58"/>
        <item x="45"/>
        <item x="30"/>
        <item x="11"/>
        <item x="46"/>
        <item x="29"/>
        <item x="55"/>
        <item x="22"/>
        <item x="40"/>
        <item x="16"/>
        <item x="25"/>
        <item x="27"/>
        <item x="73"/>
        <item x="15"/>
        <item x="32"/>
        <item x="8"/>
        <item x="1"/>
        <item x="99"/>
        <item x="57"/>
        <item x="66"/>
        <item x="59"/>
        <item x="37"/>
        <item x="68"/>
        <item x="10"/>
        <item x="86"/>
        <item x="90"/>
        <item x="23"/>
        <item x="9"/>
        <item x="89"/>
        <item x="78"/>
        <item x="6"/>
        <item x="21"/>
        <item x="52"/>
        <item x="3"/>
        <item x="63"/>
        <item x="31"/>
        <item x="69"/>
        <item x="72"/>
        <item x="91"/>
        <item x="43"/>
        <item x="35"/>
        <item x="100"/>
        <item x="14"/>
        <item x="74"/>
        <item x="51"/>
        <item x="44"/>
        <item x="101"/>
        <item x="5"/>
        <item x="93"/>
        <item x="96"/>
        <item x="42"/>
        <item x="103"/>
        <item x="88"/>
        <item x="82"/>
        <item x="83"/>
        <item x="105"/>
        <item x="92"/>
        <item x="33"/>
        <item x="56"/>
        <item x="34"/>
        <item x="102"/>
        <item x="106"/>
        <item x="4"/>
        <item x="107"/>
        <item x="87"/>
        <item x="17"/>
        <item x="98"/>
        <item x="13"/>
        <item x="94"/>
        <item x="48"/>
        <item x="65"/>
        <item x="49"/>
        <item t="default"/>
      </items>
      <autoSortScope>
        <pivotArea dataOnly="0" outline="0" fieldPosition="0">
          <references count="1">
            <reference field="4294967294" count="1" selected="0">
              <x v="0"/>
            </reference>
          </references>
        </pivotArea>
      </autoSortScope>
    </pivotField>
    <pivotField numFmtId="2" showAll="0"/>
    <pivotField numFmtId="2" showAll="0"/>
    <pivotField numFmtId="9" showAll="0"/>
    <pivotField showAll="0"/>
    <pivotField showAll="0"/>
    <pivotField dataField="1" numFmtId="165" showAll="0"/>
    <pivotField showAll="0"/>
    <pivotField showAll="0"/>
  </pivotFields>
  <rowFields count="1">
    <field x="0"/>
  </rowFields>
  <rowItems count="109">
    <i>
      <x v="30"/>
    </i>
    <i>
      <x v="67"/>
    </i>
    <i>
      <x v="16"/>
    </i>
    <i>
      <x v="68"/>
    </i>
    <i>
      <x v="82"/>
    </i>
    <i>
      <x v="71"/>
    </i>
    <i>
      <x v="72"/>
    </i>
    <i>
      <x v="70"/>
    </i>
    <i>
      <x v="58"/>
    </i>
    <i>
      <x v="39"/>
    </i>
    <i>
      <x v="24"/>
    </i>
    <i>
      <x v="7"/>
    </i>
    <i>
      <x v="94"/>
    </i>
    <i>
      <x v="13"/>
    </i>
    <i>
      <x v="57"/>
    </i>
    <i>
      <x v="6"/>
    </i>
    <i>
      <x v="76"/>
    </i>
    <i>
      <x v="50"/>
    </i>
    <i>
      <x v="37"/>
    </i>
    <i>
      <x v="17"/>
    </i>
    <i>
      <x v="18"/>
    </i>
    <i>
      <x v="65"/>
    </i>
    <i>
      <x v="44"/>
    </i>
    <i>
      <x v="66"/>
    </i>
    <i>
      <x v="107"/>
    </i>
    <i>
      <x/>
    </i>
    <i>
      <x v="99"/>
    </i>
    <i>
      <x v="102"/>
    </i>
    <i>
      <x v="35"/>
    </i>
    <i>
      <x v="29"/>
    </i>
    <i>
      <x v="41"/>
    </i>
    <i>
      <x v="80"/>
    </i>
    <i>
      <x v="32"/>
    </i>
    <i>
      <x v="36"/>
    </i>
    <i>
      <x v="14"/>
    </i>
    <i>
      <x v="26"/>
    </i>
    <i>
      <x v="91"/>
    </i>
    <i>
      <x v="27"/>
    </i>
    <i>
      <x v="8"/>
    </i>
    <i>
      <x v="28"/>
    </i>
    <i>
      <x v="75"/>
    </i>
    <i>
      <x v="15"/>
    </i>
    <i>
      <x v="47"/>
    </i>
    <i>
      <x v="51"/>
    </i>
    <i>
      <x v="3"/>
    </i>
    <i>
      <x v="93"/>
    </i>
    <i>
      <x v="49"/>
    </i>
    <i>
      <x v="90"/>
    </i>
    <i>
      <x v="33"/>
    </i>
    <i>
      <x v="56"/>
    </i>
    <i>
      <x v="74"/>
    </i>
    <i>
      <x v="2"/>
    </i>
    <i>
      <x v="55"/>
    </i>
    <i>
      <x v="84"/>
    </i>
    <i>
      <x v="4"/>
    </i>
    <i>
      <x v="19"/>
    </i>
    <i>
      <x v="1"/>
    </i>
    <i>
      <x v="42"/>
    </i>
    <i>
      <x v="61"/>
    </i>
    <i>
      <x v="22"/>
    </i>
    <i>
      <x v="53"/>
    </i>
    <i>
      <x v="77"/>
    </i>
    <i>
      <x v="81"/>
    </i>
    <i>
      <x v="73"/>
    </i>
    <i>
      <x v="23"/>
    </i>
    <i>
      <x v="104"/>
    </i>
    <i>
      <x v="43"/>
    </i>
    <i>
      <x v="5"/>
    </i>
    <i>
      <x v="108"/>
    </i>
    <i>
      <x v="69"/>
    </i>
    <i>
      <x v="64"/>
    </i>
    <i>
      <x v="31"/>
    </i>
    <i>
      <x v="40"/>
    </i>
    <i>
      <x v="101"/>
    </i>
    <i>
      <x v="25"/>
    </i>
    <i>
      <x v="38"/>
    </i>
    <i>
      <x v="63"/>
    </i>
    <i>
      <x v="46"/>
    </i>
    <i>
      <x v="11"/>
    </i>
    <i>
      <x v="95"/>
    </i>
    <i>
      <x v="48"/>
    </i>
    <i>
      <x v="106"/>
    </i>
    <i>
      <x v="21"/>
    </i>
    <i>
      <x v="79"/>
    </i>
    <i>
      <x v="85"/>
    </i>
    <i>
      <x v="105"/>
    </i>
    <i>
      <x v="59"/>
    </i>
    <i>
      <x v="34"/>
    </i>
    <i>
      <x v="62"/>
    </i>
    <i>
      <x v="60"/>
    </i>
    <i>
      <x v="52"/>
    </i>
    <i>
      <x v="87"/>
    </i>
    <i>
      <x v="78"/>
    </i>
    <i>
      <x v="45"/>
    </i>
    <i>
      <x v="103"/>
    </i>
    <i>
      <x v="86"/>
    </i>
    <i>
      <x v="96"/>
    </i>
    <i>
      <x v="89"/>
    </i>
    <i>
      <x v="54"/>
    </i>
    <i>
      <x v="9"/>
    </i>
    <i>
      <x v="20"/>
    </i>
    <i>
      <x v="98"/>
    </i>
    <i>
      <x v="83"/>
    </i>
    <i>
      <x v="88"/>
    </i>
    <i>
      <x v="97"/>
    </i>
    <i>
      <x v="92"/>
    </i>
    <i>
      <x v="10"/>
    </i>
    <i>
      <x v="100"/>
    </i>
    <i t="grand">
      <x/>
    </i>
  </rowItems>
  <colItems count="1">
    <i/>
  </colItems>
  <dataFields count="1">
    <dataField name="Sum of Discount amount(ksh)" fld="6" baseField="0" baseItem="0" numFmtId="165"/>
  </dataFields>
  <formats count="1">
    <format dxfId="4">
      <pivotArea collapsedLevelsAreSubtotals="1" fieldPosition="0">
        <references count="1">
          <reference field="0" count="10">
            <x v="16"/>
            <x v="30"/>
            <x v="32"/>
            <x v="39"/>
            <x v="67"/>
            <x v="68"/>
            <x v="71"/>
            <x v="78"/>
            <x v="82"/>
            <x v="10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3FE636-A03B-4AD0-B972-D455C5E4650C}" name="PivotTable7"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2" firstHeaderRow="1" firstDataRow="1" firstDataCol="1"/>
  <pivotFields count="9">
    <pivotField axis="axisRow" showAll="0" sortType="descending">
      <items count="110">
        <item x="62"/>
        <item x="70"/>
        <item x="61"/>
        <item x="76"/>
        <item x="71"/>
        <item x="19"/>
        <item x="81"/>
        <item x="47"/>
        <item x="84"/>
        <item x="85"/>
        <item x="104"/>
        <item x="97"/>
        <item m="1" x="108"/>
        <item x="18"/>
        <item x="64"/>
        <item x="39"/>
        <item x="60"/>
        <item x="12"/>
        <item x="20"/>
        <item x="50"/>
        <item x="7"/>
        <item x="28"/>
        <item x="36"/>
        <item x="24"/>
        <item x="53"/>
        <item x="95"/>
        <item x="77"/>
        <item x="79"/>
        <item x="80"/>
        <item x="67"/>
        <item x="2"/>
        <item x="0"/>
        <item x="41"/>
        <item x="75"/>
        <item x="26"/>
        <item x="38"/>
        <item x="54"/>
        <item x="58"/>
        <item x="45"/>
        <item x="30"/>
        <item x="11"/>
        <item x="46"/>
        <item x="29"/>
        <item x="55"/>
        <item x="22"/>
        <item x="40"/>
        <item x="16"/>
        <item x="25"/>
        <item x="27"/>
        <item x="73"/>
        <item x="15"/>
        <item x="32"/>
        <item x="8"/>
        <item x="1"/>
        <item x="99"/>
        <item x="57"/>
        <item x="66"/>
        <item x="59"/>
        <item x="37"/>
        <item x="68"/>
        <item x="10"/>
        <item x="86"/>
        <item x="90"/>
        <item x="23"/>
        <item x="9"/>
        <item x="89"/>
        <item x="78"/>
        <item x="6"/>
        <item x="21"/>
        <item x="52"/>
        <item x="3"/>
        <item x="63"/>
        <item x="31"/>
        <item x="69"/>
        <item x="72"/>
        <item x="91"/>
        <item x="43"/>
        <item x="35"/>
        <item x="100"/>
        <item x="14"/>
        <item x="74"/>
        <item x="51"/>
        <item x="44"/>
        <item x="101"/>
        <item x="5"/>
        <item x="93"/>
        <item x="96"/>
        <item x="42"/>
        <item x="103"/>
        <item x="88"/>
        <item x="82"/>
        <item x="83"/>
        <item x="105"/>
        <item x="92"/>
        <item x="33"/>
        <item x="56"/>
        <item x="34"/>
        <item x="102"/>
        <item x="106"/>
        <item x="4"/>
        <item x="107"/>
        <item x="87"/>
        <item x="17"/>
        <item x="98"/>
        <item x="13"/>
        <item x="94"/>
        <item x="48"/>
        <item x="65"/>
        <item x="49"/>
        <item t="default"/>
      </items>
      <autoSortScope>
        <pivotArea dataOnly="0" outline="0" fieldPosition="0">
          <references count="1">
            <reference field="4294967294" count="1" selected="0">
              <x v="0"/>
            </reference>
          </references>
        </pivotArea>
      </autoSortScope>
    </pivotField>
    <pivotField numFmtId="2" showAll="0"/>
    <pivotField numFmtId="2" showAll="0"/>
    <pivotField numFmtId="9" showAll="0"/>
    <pivotField dataField="1" showAll="0"/>
    <pivotField showAll="0"/>
    <pivotField numFmtId="165" showAll="0"/>
    <pivotField showAll="0"/>
    <pivotField showAll="0"/>
  </pivotFields>
  <rowFields count="1">
    <field x="0"/>
  </rowFields>
  <rowItems count="109">
    <i>
      <x v="5"/>
    </i>
    <i>
      <x v="8"/>
    </i>
    <i>
      <x v="59"/>
    </i>
    <i>
      <x v="18"/>
    </i>
    <i>
      <x v="1"/>
    </i>
    <i>
      <x v="95"/>
    </i>
    <i>
      <x v="27"/>
    </i>
    <i>
      <x v="91"/>
    </i>
    <i>
      <x v="28"/>
    </i>
    <i>
      <x v="26"/>
    </i>
    <i>
      <x v="38"/>
    </i>
    <i>
      <x v="101"/>
    </i>
    <i>
      <x v="64"/>
    </i>
    <i>
      <x v="11"/>
    </i>
    <i>
      <x v="77"/>
    </i>
    <i>
      <x v="61"/>
    </i>
    <i>
      <x v="3"/>
    </i>
    <i>
      <x v="20"/>
    </i>
    <i>
      <x v="30"/>
    </i>
    <i>
      <x v="22"/>
    </i>
    <i>
      <x v="93"/>
    </i>
    <i>
      <x v="62"/>
    </i>
    <i>
      <x v="4"/>
    </i>
    <i>
      <x v="84"/>
    </i>
    <i>
      <x v="60"/>
    </i>
    <i>
      <x v="80"/>
    </i>
    <i>
      <x v="72"/>
    </i>
    <i>
      <x v="67"/>
    </i>
    <i>
      <x v="17"/>
    </i>
    <i>
      <x v="58"/>
    </i>
    <i>
      <x v="107"/>
    </i>
    <i>
      <x v="69"/>
    </i>
    <i>
      <x v="106"/>
    </i>
    <i>
      <x v="41"/>
    </i>
    <i>
      <x v="73"/>
    </i>
    <i>
      <x v="25"/>
    </i>
    <i>
      <x v="35"/>
    </i>
    <i>
      <x v="66"/>
    </i>
    <i>
      <x v="75"/>
    </i>
    <i>
      <x v="7"/>
    </i>
    <i>
      <x v="90"/>
    </i>
    <i>
      <x v="70"/>
    </i>
    <i>
      <x v="16"/>
    </i>
    <i>
      <x v="108"/>
    </i>
    <i>
      <x v="68"/>
    </i>
    <i>
      <x v="40"/>
    </i>
    <i>
      <x v="52"/>
    </i>
    <i>
      <x v="87"/>
    </i>
    <i>
      <x v="56"/>
    </i>
    <i>
      <x v="2"/>
    </i>
    <i>
      <x/>
    </i>
    <i>
      <x v="65"/>
    </i>
    <i>
      <x v="44"/>
    </i>
    <i>
      <x v="76"/>
    </i>
    <i>
      <x v="57"/>
    </i>
    <i>
      <x v="63"/>
    </i>
    <i>
      <x v="104"/>
    </i>
    <i>
      <x v="89"/>
    </i>
    <i>
      <x v="81"/>
    </i>
    <i>
      <x v="97"/>
    </i>
    <i>
      <x v="6"/>
    </i>
    <i>
      <x v="85"/>
    </i>
    <i>
      <x v="29"/>
    </i>
    <i>
      <x v="47"/>
    </i>
    <i>
      <x v="19"/>
    </i>
    <i>
      <x v="49"/>
    </i>
    <i>
      <x v="31"/>
    </i>
    <i>
      <x v="83"/>
    </i>
    <i>
      <x v="15"/>
    </i>
    <i>
      <x v="53"/>
    </i>
    <i>
      <x v="32"/>
    </i>
    <i>
      <x v="46"/>
    </i>
    <i>
      <x v="55"/>
    </i>
    <i>
      <x v="48"/>
    </i>
    <i>
      <x v="33"/>
    </i>
    <i>
      <x v="99"/>
    </i>
    <i>
      <x v="34"/>
    </i>
    <i>
      <x v="10"/>
    </i>
    <i>
      <x v="13"/>
    </i>
    <i>
      <x v="82"/>
    </i>
    <i>
      <x v="36"/>
    </i>
    <i>
      <x v="43"/>
    </i>
    <i>
      <x v="37"/>
    </i>
    <i>
      <x v="86"/>
    </i>
    <i>
      <x v="71"/>
    </i>
    <i>
      <x v="88"/>
    </i>
    <i>
      <x v="21"/>
    </i>
    <i>
      <x v="45"/>
    </i>
    <i>
      <x v="39"/>
    </i>
    <i>
      <x v="92"/>
    </i>
    <i>
      <x v="74"/>
    </i>
    <i>
      <x v="94"/>
    </i>
    <i>
      <x v="14"/>
    </i>
    <i>
      <x v="96"/>
    </i>
    <i>
      <x v="9"/>
    </i>
    <i>
      <x v="98"/>
    </i>
    <i>
      <x v="103"/>
    </i>
    <i>
      <x v="100"/>
    </i>
    <i>
      <x v="105"/>
    </i>
    <i>
      <x v="102"/>
    </i>
    <i>
      <x v="51"/>
    </i>
    <i>
      <x v="42"/>
    </i>
    <i>
      <x v="23"/>
    </i>
    <i>
      <x v="50"/>
    </i>
    <i>
      <x v="78"/>
    </i>
    <i>
      <x v="24"/>
    </i>
    <i>
      <x v="79"/>
    </i>
    <i>
      <x v="54"/>
    </i>
    <i t="grand">
      <x/>
    </i>
  </rowItems>
  <colItems count="1">
    <i/>
  </colItems>
  <dataFields count="1">
    <dataField name="Sum of Review" fld="4" baseField="0" baseItem="0"/>
  </dataFields>
  <formats count="1">
    <format dxfId="3">
      <pivotArea collapsedLevelsAreSubtotals="1" fieldPosition="0">
        <references count="1">
          <reference field="0" count="10">
            <x v="1"/>
            <x v="5"/>
            <x v="8"/>
            <x v="18"/>
            <x v="26"/>
            <x v="27"/>
            <x v="28"/>
            <x v="59"/>
            <x v="91"/>
            <x v="9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EB7668-3495-4F34-B0AE-E4F350A9B19B}" name="PivotTable8"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2" firstHeaderRow="1" firstDataRow="1" firstDataCol="1"/>
  <pivotFields count="9">
    <pivotField axis="axisRow" showAll="0" sortType="descending">
      <items count="110">
        <item x="62"/>
        <item x="70"/>
        <item x="61"/>
        <item x="76"/>
        <item x="71"/>
        <item x="19"/>
        <item x="81"/>
        <item x="47"/>
        <item x="84"/>
        <item x="85"/>
        <item x="104"/>
        <item x="97"/>
        <item m="1" x="108"/>
        <item x="18"/>
        <item x="64"/>
        <item x="39"/>
        <item x="60"/>
        <item x="12"/>
        <item x="20"/>
        <item x="50"/>
        <item x="7"/>
        <item x="28"/>
        <item x="36"/>
        <item x="24"/>
        <item x="53"/>
        <item x="95"/>
        <item x="77"/>
        <item x="79"/>
        <item x="80"/>
        <item x="67"/>
        <item x="2"/>
        <item x="0"/>
        <item x="41"/>
        <item x="75"/>
        <item x="26"/>
        <item x="38"/>
        <item x="54"/>
        <item x="58"/>
        <item x="45"/>
        <item x="30"/>
        <item x="11"/>
        <item x="46"/>
        <item x="29"/>
        <item x="55"/>
        <item x="22"/>
        <item x="40"/>
        <item x="16"/>
        <item x="25"/>
        <item x="27"/>
        <item x="73"/>
        <item x="15"/>
        <item x="32"/>
        <item x="8"/>
        <item x="1"/>
        <item x="99"/>
        <item x="57"/>
        <item x="66"/>
        <item x="59"/>
        <item x="37"/>
        <item x="68"/>
        <item x="10"/>
        <item x="86"/>
        <item x="90"/>
        <item x="23"/>
        <item x="9"/>
        <item x="89"/>
        <item x="78"/>
        <item x="6"/>
        <item x="21"/>
        <item x="52"/>
        <item x="3"/>
        <item x="63"/>
        <item x="31"/>
        <item x="69"/>
        <item x="72"/>
        <item x="91"/>
        <item x="43"/>
        <item x="35"/>
        <item x="100"/>
        <item x="14"/>
        <item x="74"/>
        <item x="51"/>
        <item x="44"/>
        <item x="101"/>
        <item x="5"/>
        <item x="93"/>
        <item x="96"/>
        <item x="42"/>
        <item x="103"/>
        <item x="88"/>
        <item x="82"/>
        <item x="83"/>
        <item x="105"/>
        <item x="92"/>
        <item x="33"/>
        <item x="56"/>
        <item x="34"/>
        <item x="102"/>
        <item x="106"/>
        <item x="4"/>
        <item x="107"/>
        <item x="87"/>
        <item x="17"/>
        <item x="98"/>
        <item x="13"/>
        <item x="94"/>
        <item x="48"/>
        <item x="65"/>
        <item x="49"/>
        <item t="default"/>
      </items>
      <autoSortScope>
        <pivotArea dataOnly="0" outline="0" fieldPosition="0">
          <references count="1">
            <reference field="4294967294" count="1" selected="0">
              <x v="0"/>
            </reference>
          </references>
        </pivotArea>
      </autoSortScope>
    </pivotField>
    <pivotField numFmtId="2" showAll="0"/>
    <pivotField numFmtId="2" showAll="0"/>
    <pivotField numFmtId="9" showAll="0"/>
    <pivotField showAll="0"/>
    <pivotField dataField="1" showAll="0"/>
    <pivotField numFmtId="165" showAll="0"/>
    <pivotField showAll="0"/>
    <pivotField showAll="0"/>
  </pivotFields>
  <rowFields count="1">
    <field x="0"/>
  </rowFields>
  <rowItems count="109">
    <i>
      <x v="39"/>
    </i>
    <i>
      <x v="99"/>
    </i>
    <i>
      <x v="53"/>
    </i>
    <i>
      <x v="67"/>
    </i>
    <i>
      <x v="2"/>
    </i>
    <i>
      <x v="83"/>
    </i>
    <i>
      <x v="4"/>
    </i>
    <i>
      <x v="59"/>
    </i>
    <i>
      <x v="5"/>
    </i>
    <i>
      <x v="75"/>
    </i>
    <i>
      <x v="6"/>
    </i>
    <i>
      <x v="91"/>
    </i>
    <i>
      <x v="7"/>
    </i>
    <i>
      <x v="3"/>
    </i>
    <i>
      <x v="8"/>
    </i>
    <i>
      <x v="63"/>
    </i>
    <i>
      <x v="9"/>
    </i>
    <i>
      <x v="71"/>
    </i>
    <i>
      <x v="10"/>
    </i>
    <i>
      <x v="79"/>
    </i>
    <i>
      <x v="11"/>
    </i>
    <i>
      <x v="87"/>
    </i>
    <i>
      <x v="13"/>
    </i>
    <i>
      <x v="95"/>
    </i>
    <i>
      <x v="14"/>
    </i>
    <i>
      <x v="103"/>
    </i>
    <i>
      <x v="15"/>
    </i>
    <i>
      <x v="57"/>
    </i>
    <i>
      <x v="16"/>
    </i>
    <i>
      <x v="61"/>
    </i>
    <i>
      <x v="17"/>
    </i>
    <i>
      <x v="65"/>
    </i>
    <i>
      <x v="18"/>
    </i>
    <i>
      <x v="69"/>
    </i>
    <i>
      <x v="19"/>
    </i>
    <i>
      <x v="73"/>
    </i>
    <i>
      <x v="20"/>
    </i>
    <i>
      <x v="77"/>
    </i>
    <i>
      <x v="21"/>
    </i>
    <i>
      <x v="81"/>
    </i>
    <i>
      <x v="22"/>
    </i>
    <i>
      <x v="85"/>
    </i>
    <i>
      <x v="23"/>
    </i>
    <i>
      <x v="89"/>
    </i>
    <i>
      <x v="24"/>
    </i>
    <i>
      <x v="93"/>
    </i>
    <i>
      <x v="25"/>
    </i>
    <i>
      <x v="97"/>
    </i>
    <i>
      <x v="26"/>
    </i>
    <i>
      <x v="101"/>
    </i>
    <i>
      <x v="27"/>
    </i>
    <i>
      <x v="105"/>
    </i>
    <i>
      <x v="28"/>
    </i>
    <i>
      <x v="56"/>
    </i>
    <i>
      <x v="29"/>
    </i>
    <i>
      <x v="58"/>
    </i>
    <i>
      <x v="30"/>
    </i>
    <i>
      <x v="60"/>
    </i>
    <i>
      <x v="31"/>
    </i>
    <i>
      <x v="62"/>
    </i>
    <i>
      <x v="32"/>
    </i>
    <i>
      <x v="64"/>
    </i>
    <i>
      <x v="33"/>
    </i>
    <i>
      <x v="66"/>
    </i>
    <i>
      <x v="34"/>
    </i>
    <i>
      <x v="68"/>
    </i>
    <i>
      <x v="35"/>
    </i>
    <i>
      <x v="70"/>
    </i>
    <i>
      <x v="36"/>
    </i>
    <i>
      <x v="72"/>
    </i>
    <i>
      <x v="37"/>
    </i>
    <i>
      <x v="74"/>
    </i>
    <i>
      <x v="38"/>
    </i>
    <i>
      <x v="76"/>
    </i>
    <i>
      <x v="1"/>
    </i>
    <i>
      <x v="78"/>
    </i>
    <i>
      <x v="40"/>
    </i>
    <i>
      <x v="80"/>
    </i>
    <i>
      <x v="41"/>
    </i>
    <i>
      <x v="82"/>
    </i>
    <i>
      <x v="42"/>
    </i>
    <i>
      <x v="84"/>
    </i>
    <i>
      <x v="43"/>
    </i>
    <i>
      <x v="86"/>
    </i>
    <i>
      <x v="44"/>
    </i>
    <i>
      <x v="88"/>
    </i>
    <i>
      <x v="45"/>
    </i>
    <i>
      <x v="90"/>
    </i>
    <i>
      <x v="46"/>
    </i>
    <i>
      <x v="92"/>
    </i>
    <i>
      <x v="47"/>
    </i>
    <i>
      <x v="94"/>
    </i>
    <i>
      <x v="48"/>
    </i>
    <i>
      <x v="96"/>
    </i>
    <i>
      <x v="49"/>
    </i>
    <i>
      <x v="98"/>
    </i>
    <i>
      <x v="50"/>
    </i>
    <i>
      <x v="100"/>
    </i>
    <i>
      <x v="51"/>
    </i>
    <i>
      <x v="102"/>
    </i>
    <i>
      <x v="52"/>
    </i>
    <i>
      <x v="104"/>
    </i>
    <i>
      <x v="107"/>
    </i>
    <i>
      <x v="106"/>
    </i>
    <i>
      <x v="108"/>
    </i>
    <i>
      <x v="55"/>
    </i>
    <i>
      <x/>
    </i>
    <i>
      <x v="54"/>
    </i>
    <i t="grand">
      <x/>
    </i>
  </rowItems>
  <colItems count="1">
    <i/>
  </colItems>
  <dataFields count="1">
    <dataField name="Count of Rating" fld="5" subtotal="count" baseField="0" baseItem="0"/>
  </dataFields>
  <formats count="2">
    <format dxfId="2">
      <pivotArea collapsedLevelsAreSubtotals="1" fieldPosition="0">
        <references count="1">
          <reference field="0" count="5">
            <x v="32"/>
            <x v="39"/>
            <x v="43"/>
            <x v="53"/>
            <x v="99"/>
          </reference>
        </references>
      </pivotArea>
    </format>
    <format dxfId="1">
      <pivotArea collapsedLevelsAreSubtotals="1" fieldPosition="0">
        <references count="1">
          <reference field="0" count="5">
            <x v="0"/>
            <x v="54"/>
            <x v="55"/>
            <x v="56"/>
            <x v="10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51264B-872F-4C46-885F-E3F3B60056F6}" name="PivotTable9" cacheId="51"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5" firstHeaderRow="1" firstDataRow="1" firstDataCol="1" rowPageCount="1" colPageCount="1"/>
  <pivotFields count="9">
    <pivotField showAll="0"/>
    <pivotField numFmtId="2" showAll="0"/>
    <pivotField numFmtId="2" showAll="0"/>
    <pivotField numFmtId="9" showAll="0"/>
    <pivotField dataField="1" showAll="0"/>
    <pivotField dataField="1" showAll="0"/>
    <pivotField numFmtId="165" showAll="0"/>
    <pivotField showAll="0"/>
    <pivotField axis="axisPage" showAll="0">
      <items count="5">
        <item x="0"/>
        <item x="2"/>
        <item x="1"/>
        <item m="1" x="3"/>
        <item t="default"/>
      </items>
    </pivotField>
  </pivotFields>
  <rowFields count="1">
    <field x="-2"/>
  </rowFields>
  <rowItems count="2">
    <i>
      <x/>
    </i>
    <i i="1">
      <x v="1"/>
    </i>
  </rowItems>
  <colItems count="1">
    <i/>
  </colItems>
  <pageFields count="1">
    <pageField fld="8" item="1" hier="-1"/>
  </pageFields>
  <dataFields count="2">
    <dataField name="Average of Rating" fld="5" subtotal="average" baseField="8" baseItem="0"/>
    <dataField name="Sum of Review" fld="4" baseField="0" baseItem="0"/>
  </dataField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1">
          <reference field="4294967294" count="1" selected="0">
            <x v="0"/>
          </reference>
        </references>
      </pivotArea>
    </chartFormat>
    <chartFormat chart="3" format="6">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C3A3F3-7DC3-4FE8-A241-D10733D5A922}" name="PivotTable10"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9">
    <pivotField axis="axisRow" showAll="0" measureFilter="1" sortType="descending">
      <items count="110">
        <item x="38"/>
        <item x="11"/>
        <item x="0"/>
        <item x="27"/>
        <item x="31"/>
        <item x="57"/>
        <item x="53"/>
        <item x="9"/>
        <item x="6"/>
        <item x="96"/>
        <item x="76"/>
        <item x="5"/>
        <item x="95"/>
        <item x="86"/>
        <item x="46"/>
        <item x="69"/>
        <item x="62"/>
        <item x="61"/>
        <item x="19"/>
        <item x="70"/>
        <item x="20"/>
        <item x="89"/>
        <item x="12"/>
        <item x="40"/>
        <item x="21"/>
        <item x="54"/>
        <item x="28"/>
        <item x="34"/>
        <item x="33"/>
        <item x="75"/>
        <item x="56"/>
        <item x="101"/>
        <item x="108"/>
        <item x="44"/>
        <item x="72"/>
        <item x="67"/>
        <item x="92"/>
        <item x="94"/>
        <item x="63"/>
        <item x="107"/>
        <item x="15"/>
        <item x="60"/>
        <item x="91"/>
        <item x="104"/>
        <item x="74"/>
        <item x="103"/>
        <item x="47"/>
        <item x="45"/>
        <item x="79"/>
        <item x="98"/>
        <item x="43"/>
        <item x="52"/>
        <item x="36"/>
        <item x="105"/>
        <item x="71"/>
        <item x="51"/>
        <item x="7"/>
        <item x="35"/>
        <item x="68"/>
        <item x="25"/>
        <item x="30"/>
        <item x="23"/>
        <item x="10"/>
        <item x="77"/>
        <item x="58"/>
        <item x="93"/>
        <item x="64"/>
        <item x="24"/>
        <item x="17"/>
        <item x="13"/>
        <item x="8"/>
        <item x="39"/>
        <item x="32"/>
        <item x="22"/>
        <item x="97"/>
        <item x="18"/>
        <item x="73"/>
        <item x="1"/>
        <item x="90"/>
        <item x="41"/>
        <item x="14"/>
        <item x="82"/>
        <item x="29"/>
        <item x="50"/>
        <item x="55"/>
        <item x="78"/>
        <item x="80"/>
        <item x="16"/>
        <item x="48"/>
        <item x="49"/>
        <item x="4"/>
        <item x="2"/>
        <item x="88"/>
        <item x="26"/>
        <item x="84"/>
        <item x="37"/>
        <item x="85"/>
        <item x="42"/>
        <item x="99"/>
        <item x="106"/>
        <item x="100"/>
        <item x="59"/>
        <item x="83"/>
        <item x="87"/>
        <item x="102"/>
        <item x="81"/>
        <item x="65"/>
        <item x="3"/>
        <item x="66"/>
        <item t="default"/>
      </items>
      <autoSortScope>
        <pivotArea dataOnly="0" outline="0" fieldPosition="0">
          <references count="1">
            <reference field="4294967294" count="1" selected="0">
              <x v="0"/>
            </reference>
          </references>
        </pivotArea>
      </autoSortScope>
    </pivotField>
    <pivotField numFmtId="2" showAll="0"/>
    <pivotField numFmtId="2" showAll="0"/>
    <pivotField dataField="1" numFmtId="9" showAll="0"/>
    <pivotField showAll="0"/>
    <pivotField showAll="0"/>
    <pivotField showAll="0"/>
    <pivotField showAll="0">
      <items count="4">
        <item h="1" x="1"/>
        <item x="0"/>
        <item h="1" x="2"/>
        <item t="default"/>
      </items>
    </pivotField>
    <pivotField showAll="0">
      <items count="4">
        <item h="1" x="1"/>
        <item x="2"/>
        <item h="1" x="0"/>
        <item t="default"/>
      </items>
    </pivotField>
  </pivotFields>
  <rowFields count="1">
    <field x="0"/>
  </rowFields>
  <rowItems count="6">
    <i>
      <x v="75"/>
    </i>
    <i>
      <x v="105"/>
    </i>
    <i>
      <x v="85"/>
    </i>
    <i>
      <x v="86"/>
    </i>
    <i>
      <x v="103"/>
    </i>
    <i t="grand">
      <x/>
    </i>
  </rowItems>
  <colItems count="1">
    <i/>
  </colItems>
  <dataFields count="1">
    <dataField name="Sum of Discount" fld="3" baseField="0" baseItem="0" numFmtId="9"/>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D6C2EA3-EA7A-48CB-9F05-31B1ED1F04FA}" name="PivotTable11"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9" firstHeaderRow="1" firstDataRow="1" firstDataCol="1"/>
  <pivotFields count="9">
    <pivotField axis="axisRow" showAll="0" measureFilter="1" sortType="descending">
      <items count="110">
        <item x="38"/>
        <item x="11"/>
        <item x="0"/>
        <item x="27"/>
        <item x="31"/>
        <item x="57"/>
        <item x="53"/>
        <item x="9"/>
        <item x="6"/>
        <item x="96"/>
        <item x="76"/>
        <item x="5"/>
        <item x="95"/>
        <item x="86"/>
        <item x="46"/>
        <item x="69"/>
        <item x="62"/>
        <item x="61"/>
        <item x="19"/>
        <item x="70"/>
        <item x="20"/>
        <item x="89"/>
        <item x="12"/>
        <item x="40"/>
        <item x="21"/>
        <item x="54"/>
        <item x="28"/>
        <item x="34"/>
        <item x="33"/>
        <item x="75"/>
        <item x="56"/>
        <item x="101"/>
        <item x="108"/>
        <item x="44"/>
        <item x="72"/>
        <item x="67"/>
        <item x="92"/>
        <item x="94"/>
        <item x="63"/>
        <item x="107"/>
        <item x="15"/>
        <item x="60"/>
        <item x="91"/>
        <item x="104"/>
        <item x="74"/>
        <item x="103"/>
        <item x="47"/>
        <item x="45"/>
        <item x="79"/>
        <item x="98"/>
        <item x="43"/>
        <item x="52"/>
        <item x="36"/>
        <item x="105"/>
        <item x="71"/>
        <item x="51"/>
        <item x="7"/>
        <item x="35"/>
        <item x="68"/>
        <item x="25"/>
        <item x="30"/>
        <item x="23"/>
        <item x="10"/>
        <item x="77"/>
        <item x="58"/>
        <item x="93"/>
        <item x="64"/>
        <item x="24"/>
        <item x="17"/>
        <item x="13"/>
        <item x="8"/>
        <item x="39"/>
        <item x="32"/>
        <item x="22"/>
        <item x="97"/>
        <item x="18"/>
        <item x="73"/>
        <item x="1"/>
        <item x="90"/>
        <item x="41"/>
        <item x="14"/>
        <item x="82"/>
        <item x="29"/>
        <item x="50"/>
        <item x="55"/>
        <item x="78"/>
        <item x="80"/>
        <item x="16"/>
        <item x="48"/>
        <item x="49"/>
        <item x="4"/>
        <item x="2"/>
        <item x="88"/>
        <item x="26"/>
        <item x="84"/>
        <item x="37"/>
        <item x="85"/>
        <item x="42"/>
        <item x="99"/>
        <item x="106"/>
        <item x="100"/>
        <item x="59"/>
        <item x="83"/>
        <item x="87"/>
        <item x="102"/>
        <item x="81"/>
        <item x="65"/>
        <item x="3"/>
        <item x="66"/>
        <item t="default"/>
      </items>
      <autoSortScope>
        <pivotArea dataOnly="0" outline="0" fieldPosition="0">
          <references count="1">
            <reference field="4294967294" count="1" selected="0">
              <x v="0"/>
            </reference>
          </references>
        </pivotArea>
      </autoSortScope>
    </pivotField>
    <pivotField numFmtId="2" showAll="0"/>
    <pivotField numFmtId="2" showAll="0"/>
    <pivotField numFmtId="9" showAll="0"/>
    <pivotField showAll="0"/>
    <pivotField dataField="1" showAll="0">
      <items count="24">
        <item x="22"/>
        <item x="15"/>
        <item x="19"/>
        <item x="20"/>
        <item x="13"/>
        <item x="21"/>
        <item x="17"/>
        <item x="16"/>
        <item x="18"/>
        <item x="14"/>
        <item x="9"/>
        <item x="6"/>
        <item x="5"/>
        <item x="1"/>
        <item x="7"/>
        <item x="12"/>
        <item x="11"/>
        <item x="0"/>
        <item x="2"/>
        <item x="3"/>
        <item x="4"/>
        <item x="8"/>
        <item x="10"/>
        <item t="default"/>
      </items>
    </pivotField>
    <pivotField showAll="0"/>
    <pivotField showAll="0">
      <items count="4">
        <item h="1" x="1"/>
        <item x="0"/>
        <item h="1" x="2"/>
        <item t="default"/>
      </items>
    </pivotField>
    <pivotField showAll="0">
      <items count="4">
        <item h="1" x="1"/>
        <item x="2"/>
        <item h="1" x="0"/>
        <item t="default"/>
      </items>
    </pivotField>
  </pivotFields>
  <rowFields count="1">
    <field x="0"/>
  </rowFields>
  <rowItems count="16">
    <i>
      <x v="75"/>
    </i>
    <i>
      <x v="12"/>
    </i>
    <i>
      <x v="103"/>
    </i>
    <i>
      <x v="98"/>
    </i>
    <i>
      <x v="54"/>
    </i>
    <i>
      <x v="10"/>
    </i>
    <i>
      <x v="88"/>
    </i>
    <i>
      <x v="92"/>
    </i>
    <i>
      <x v="97"/>
    </i>
    <i>
      <x v="78"/>
    </i>
    <i>
      <x v="100"/>
    </i>
    <i>
      <x v="83"/>
    </i>
    <i>
      <x v="105"/>
    </i>
    <i>
      <x v="85"/>
    </i>
    <i>
      <x v="86"/>
    </i>
    <i t="grand">
      <x/>
    </i>
  </rowItems>
  <colItems count="1">
    <i/>
  </colItems>
  <dataFields count="1">
    <dataField name="Average of Rating" fld="5" subtotal="average" baseField="0" baseItem="9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ECCA0AF-23EC-43E4-B2F1-EF0D21D147BD}" name="PivotTable12"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9" firstHeaderRow="1" firstDataRow="1" firstDataCol="1"/>
  <pivotFields count="9">
    <pivotField axis="axisRow" showAll="0" measureFilter="1">
      <items count="110">
        <item x="38"/>
        <item x="11"/>
        <item x="0"/>
        <item x="27"/>
        <item x="31"/>
        <item x="57"/>
        <item x="53"/>
        <item x="9"/>
        <item x="6"/>
        <item x="96"/>
        <item x="76"/>
        <item x="5"/>
        <item x="95"/>
        <item x="86"/>
        <item x="46"/>
        <item x="69"/>
        <item x="62"/>
        <item x="61"/>
        <item x="19"/>
        <item x="70"/>
        <item x="20"/>
        <item x="89"/>
        <item x="12"/>
        <item x="40"/>
        <item x="21"/>
        <item x="54"/>
        <item x="28"/>
        <item x="34"/>
        <item x="33"/>
        <item x="75"/>
        <item x="56"/>
        <item x="101"/>
        <item x="108"/>
        <item x="44"/>
        <item x="72"/>
        <item x="67"/>
        <item x="92"/>
        <item x="94"/>
        <item x="63"/>
        <item x="107"/>
        <item x="15"/>
        <item x="60"/>
        <item x="91"/>
        <item x="104"/>
        <item x="74"/>
        <item x="103"/>
        <item x="47"/>
        <item x="45"/>
        <item x="79"/>
        <item x="98"/>
        <item x="43"/>
        <item x="52"/>
        <item x="36"/>
        <item x="105"/>
        <item x="71"/>
        <item x="51"/>
        <item x="7"/>
        <item x="35"/>
        <item x="68"/>
        <item x="25"/>
        <item x="30"/>
        <item x="23"/>
        <item x="10"/>
        <item x="77"/>
        <item x="58"/>
        <item x="93"/>
        <item x="64"/>
        <item x="24"/>
        <item x="17"/>
        <item x="13"/>
        <item x="8"/>
        <item x="39"/>
        <item x="32"/>
        <item x="22"/>
        <item x="97"/>
        <item x="18"/>
        <item x="73"/>
        <item x="1"/>
        <item x="90"/>
        <item x="41"/>
        <item x="14"/>
        <item x="82"/>
        <item x="29"/>
        <item x="50"/>
        <item x="55"/>
        <item x="78"/>
        <item x="80"/>
        <item x="16"/>
        <item x="48"/>
        <item x="49"/>
        <item x="4"/>
        <item x="2"/>
        <item x="88"/>
        <item x="26"/>
        <item x="84"/>
        <item x="37"/>
        <item x="85"/>
        <item x="42"/>
        <item x="99"/>
        <item x="106"/>
        <item x="100"/>
        <item x="59"/>
        <item x="83"/>
        <item x="87"/>
        <item x="102"/>
        <item x="81"/>
        <item x="65"/>
        <item x="3"/>
        <item x="66"/>
        <item t="default"/>
      </items>
    </pivotField>
    <pivotField numFmtId="2" showAll="0"/>
    <pivotField numFmtId="2" showAll="0"/>
    <pivotField numFmtId="9" showAll="0"/>
    <pivotField dataField="1" showAll="0"/>
    <pivotField showAll="0"/>
    <pivotField showAll="0"/>
    <pivotField showAll="0">
      <items count="4">
        <item h="1" x="1"/>
        <item x="0"/>
        <item h="1" x="2"/>
        <item t="default"/>
      </items>
    </pivotField>
    <pivotField showAll="0">
      <items count="4">
        <item h="1" x="1"/>
        <item x="2"/>
        <item h="1" x="0"/>
        <item t="default"/>
      </items>
    </pivotField>
  </pivotFields>
  <rowFields count="1">
    <field x="0"/>
  </rowFields>
  <rowItems count="16">
    <i>
      <x v="10"/>
    </i>
    <i>
      <x v="12"/>
    </i>
    <i>
      <x v="54"/>
    </i>
    <i>
      <x v="75"/>
    </i>
    <i>
      <x v="78"/>
    </i>
    <i>
      <x v="83"/>
    </i>
    <i>
      <x v="85"/>
    </i>
    <i>
      <x v="86"/>
    </i>
    <i>
      <x v="88"/>
    </i>
    <i>
      <x v="92"/>
    </i>
    <i>
      <x v="97"/>
    </i>
    <i>
      <x v="98"/>
    </i>
    <i>
      <x v="100"/>
    </i>
    <i>
      <x v="103"/>
    </i>
    <i>
      <x v="105"/>
    </i>
    <i t="grand">
      <x/>
    </i>
  </rowItems>
  <colItems count="1">
    <i/>
  </colItems>
  <dataFields count="1">
    <dataField name="Sum of Review" fld="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C371D96-9859-421C-A6D0-902375BE23E0}" name="PivotTable13"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 firstHeaderRow="1" firstDataRow="1" firstDataCol="1" rowPageCount="1" colPageCount="1"/>
  <pivotFields count="9">
    <pivotField dataField="1" showAll="0">
      <items count="110">
        <item x="38"/>
        <item x="11"/>
        <item x="0"/>
        <item x="27"/>
        <item x="31"/>
        <item x="57"/>
        <item x="53"/>
        <item x="9"/>
        <item x="6"/>
        <item x="96"/>
        <item x="76"/>
        <item x="5"/>
        <item x="95"/>
        <item x="86"/>
        <item x="46"/>
        <item x="69"/>
        <item x="62"/>
        <item x="61"/>
        <item x="19"/>
        <item x="70"/>
        <item x="20"/>
        <item x="89"/>
        <item x="12"/>
        <item x="40"/>
        <item x="21"/>
        <item x="54"/>
        <item x="28"/>
        <item x="34"/>
        <item x="33"/>
        <item x="75"/>
        <item x="56"/>
        <item x="101"/>
        <item x="108"/>
        <item x="44"/>
        <item x="72"/>
        <item x="67"/>
        <item x="92"/>
        <item x="94"/>
        <item x="63"/>
        <item x="107"/>
        <item x="15"/>
        <item x="60"/>
        <item x="91"/>
        <item x="104"/>
        <item x="74"/>
        <item x="103"/>
        <item x="47"/>
        <item x="45"/>
        <item x="79"/>
        <item x="98"/>
        <item x="43"/>
        <item x="52"/>
        <item x="36"/>
        <item x="105"/>
        <item x="71"/>
        <item x="51"/>
        <item x="7"/>
        <item x="35"/>
        <item x="68"/>
        <item x="25"/>
        <item x="30"/>
        <item x="23"/>
        <item x="10"/>
        <item x="77"/>
        <item x="58"/>
        <item x="93"/>
        <item x="64"/>
        <item x="24"/>
        <item x="17"/>
        <item x="13"/>
        <item x="8"/>
        <item x="39"/>
        <item x="32"/>
        <item x="22"/>
        <item x="97"/>
        <item x="18"/>
        <item x="73"/>
        <item x="1"/>
        <item x="90"/>
        <item x="41"/>
        <item x="14"/>
        <item x="82"/>
        <item x="29"/>
        <item x="50"/>
        <item x="55"/>
        <item x="78"/>
        <item x="80"/>
        <item x="16"/>
        <item x="48"/>
        <item x="49"/>
        <item x="4"/>
        <item x="2"/>
        <item x="88"/>
        <item x="26"/>
        <item x="84"/>
        <item x="37"/>
        <item x="85"/>
        <item x="42"/>
        <item x="99"/>
        <item x="106"/>
        <item x="100"/>
        <item x="59"/>
        <item x="83"/>
        <item x="87"/>
        <item x="102"/>
        <item x="81"/>
        <item x="65"/>
        <item x="3"/>
        <item x="66"/>
        <item t="default"/>
      </items>
    </pivotField>
    <pivotField numFmtId="2" showAll="0"/>
    <pivotField numFmtId="2" showAll="0"/>
    <pivotField numFmtId="9" showAll="0"/>
    <pivotField showAll="0"/>
    <pivotField axis="axisPage" showAll="0">
      <items count="24">
        <item x="22"/>
        <item x="15"/>
        <item x="19"/>
        <item x="20"/>
        <item x="13"/>
        <item x="21"/>
        <item x="17"/>
        <item x="16"/>
        <item x="18"/>
        <item x="14"/>
        <item x="9"/>
        <item x="6"/>
        <item x="5"/>
        <item x="1"/>
        <item x="7"/>
        <item x="12"/>
        <item x="11"/>
        <item x="0"/>
        <item x="2"/>
        <item x="3"/>
        <item x="4"/>
        <item x="8"/>
        <item x="10"/>
        <item t="default"/>
      </items>
    </pivotField>
    <pivotField showAll="0"/>
    <pivotField showAll="0">
      <items count="4">
        <item h="1" x="1"/>
        <item x="0"/>
        <item h="1" x="2"/>
        <item t="default"/>
      </items>
    </pivotField>
    <pivotField axis="axisRow" showAll="0">
      <items count="4">
        <item h="1" x="1"/>
        <item x="2"/>
        <item h="1" x="0"/>
        <item t="default"/>
      </items>
    </pivotField>
  </pivotFields>
  <rowFields count="1">
    <field x="8"/>
  </rowFields>
  <rowItems count="2">
    <i>
      <x v="1"/>
    </i>
    <i t="grand">
      <x/>
    </i>
  </rowItems>
  <colItems count="1">
    <i/>
  </colItems>
  <pageFields count="1">
    <pageField fld="5" hier="-1"/>
  </pageFields>
  <dataFields count="1">
    <dataField name="Count of Product" fld="0" subtotal="count" baseField="0" baseItem="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8" count="1" selected="0">
            <x v="0"/>
          </reference>
        </references>
      </pivotArea>
    </chartFormat>
    <chartFormat chart="3" format="7">
      <pivotArea type="data" outline="0" fieldPosition="0">
        <references count="2">
          <reference field="4294967294" count="1" selected="0">
            <x v="0"/>
          </reference>
          <reference field="8" count="1" selected="0">
            <x v="1"/>
          </reference>
        </references>
      </pivotArea>
    </chartFormat>
    <chartFormat chart="3" format="8">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C54C5E3-1CC3-4BCD-AA3F-A09A450CDCA1}" name="PivotTable15"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5" firstHeaderRow="1" firstDataRow="1" firstDataCol="1"/>
  <pivotFields count="9">
    <pivotField showAll="0"/>
    <pivotField numFmtId="2" showAll="0"/>
    <pivotField numFmtId="2" showAll="0"/>
    <pivotField numFmtId="9" showAll="0"/>
    <pivotField showAll="0"/>
    <pivotField showAll="0"/>
    <pivotField showAll="0"/>
    <pivotField axis="axisRow" showAll="0">
      <items count="4">
        <item h="1" x="1"/>
        <item x="0"/>
        <item h="1" x="2"/>
        <item t="default"/>
      </items>
    </pivotField>
    <pivotField showAll="0">
      <items count="4">
        <item h="1" x="1"/>
        <item x="2"/>
        <item h="1" x="0"/>
        <item t="default"/>
      </items>
    </pivotField>
  </pivotFields>
  <rowFields count="1">
    <field x="7"/>
  </rowFields>
  <rowItems count="2">
    <i>
      <x v="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C902B0FC-2D19-4B60-8B82-3BB4806C914D}" sourceName="Discount category">
  <pivotTables>
    <pivotTable tabId="13" name="PivotTable13"/>
    <pivotTable tabId="15" name="PivotTable15"/>
    <pivotTable tabId="10" name="PivotTable10"/>
    <pivotTable tabId="11" name="PivotTable11"/>
    <pivotTable tabId="12" name="PivotTable12"/>
  </pivotTables>
  <data>
    <tabular pivotCacheId="1847521202">
      <items count="3">
        <i x="1"/>
        <i x="2"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BC970E70-C8EC-4199-9D8D-A50DD0EB86E0}" sourceName="Rating category">
  <pivotTables>
    <pivotTable tabId="15" name="PivotTable15"/>
    <pivotTable tabId="13" name="PivotTable13"/>
    <pivotTable tabId="10" name="PivotTable10"/>
    <pivotTable tabId="11" name="PivotTable11"/>
    <pivotTable tabId="12" name="PivotTable12"/>
  </pivotTables>
  <data>
    <tabular pivotCacheId="1847521202">
      <items count="3">
        <i x="1"/>
        <i x="0"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category" xr10:uid="{1BE39399-0325-480C-9B25-71B707E3C70A}" cache="Slicer_Rating_category" caption="Rating 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category 1" xr10:uid="{C94F6F56-4A68-4418-B07A-66C8CE3A86F7}" cache="Slicer_Discount_category" caption="Discount category" rowHeight="234950"/>
  <slicer name="Rating category 1" xr10:uid="{DDC6BAD4-A621-4D0E-BEA5-F879AE9FAA86}" cache="Slicer_Rating_category" caption="Rating 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8.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D55A3-329B-4099-A090-E152CBF811B7}">
  <dimension ref="A3:B23"/>
  <sheetViews>
    <sheetView workbookViewId="0">
      <selection activeCell="B7" sqref="B7"/>
    </sheetView>
  </sheetViews>
  <sheetFormatPr defaultRowHeight="14.4" x14ac:dyDescent="0.3"/>
  <cols>
    <col min="1" max="1" width="12.5546875" bestFit="1" customWidth="1"/>
    <col min="2" max="2" width="13.5546875" bestFit="1" customWidth="1"/>
    <col min="3" max="7" width="3.44140625" bestFit="1" customWidth="1"/>
    <col min="8" max="47" width="4.44140625" bestFit="1" customWidth="1"/>
    <col min="48" max="48" width="10.77734375" bestFit="1" customWidth="1"/>
  </cols>
  <sheetData>
    <row r="3" spans="1:2" x14ac:dyDescent="0.3">
      <c r="A3" s="8" t="s">
        <v>121</v>
      </c>
      <c r="B3" t="s">
        <v>120</v>
      </c>
    </row>
    <row r="4" spans="1:2" x14ac:dyDescent="0.3">
      <c r="A4" s="9" t="s">
        <v>130</v>
      </c>
      <c r="B4" s="7">
        <v>0</v>
      </c>
    </row>
    <row r="5" spans="1:2" x14ac:dyDescent="0.3">
      <c r="A5" s="9" t="s">
        <v>131</v>
      </c>
      <c r="B5" s="7">
        <v>15</v>
      </c>
    </row>
    <row r="6" spans="1:2" x14ac:dyDescent="0.3">
      <c r="A6" s="9" t="s">
        <v>132</v>
      </c>
      <c r="B6" s="7">
        <v>6</v>
      </c>
    </row>
    <row r="7" spans="1:2" x14ac:dyDescent="0.3">
      <c r="A7" s="9" t="s">
        <v>133</v>
      </c>
      <c r="B7" s="7">
        <v>30</v>
      </c>
    </row>
    <row r="8" spans="1:2" x14ac:dyDescent="0.3">
      <c r="A8" s="9" t="s">
        <v>134</v>
      </c>
      <c r="B8" s="7">
        <v>114</v>
      </c>
    </row>
    <row r="9" spans="1:2" x14ac:dyDescent="0.3">
      <c r="A9" s="9" t="s">
        <v>135</v>
      </c>
      <c r="B9" s="7">
        <v>77</v>
      </c>
    </row>
    <row r="10" spans="1:2" x14ac:dyDescent="0.3">
      <c r="A10" s="9" t="s">
        <v>136</v>
      </c>
      <c r="B10" s="7">
        <v>128</v>
      </c>
    </row>
    <row r="11" spans="1:2" x14ac:dyDescent="0.3">
      <c r="A11" s="9" t="s">
        <v>137</v>
      </c>
      <c r="B11" s="7">
        <v>55</v>
      </c>
    </row>
    <row r="12" spans="1:2" x14ac:dyDescent="0.3">
      <c r="A12" s="9" t="s">
        <v>138</v>
      </c>
      <c r="B12" s="7">
        <v>48</v>
      </c>
    </row>
    <row r="13" spans="1:2" x14ac:dyDescent="0.3">
      <c r="A13" s="9" t="s">
        <v>139</v>
      </c>
      <c r="B13" s="7">
        <v>176</v>
      </c>
    </row>
    <row r="14" spans="1:2" x14ac:dyDescent="0.3">
      <c r="A14" s="9" t="s">
        <v>140</v>
      </c>
      <c r="B14" s="7">
        <v>74</v>
      </c>
    </row>
    <row r="15" spans="1:2" x14ac:dyDescent="0.3">
      <c r="A15" s="9" t="s">
        <v>141</v>
      </c>
      <c r="B15" s="7">
        <v>0</v>
      </c>
    </row>
    <row r="16" spans="1:2" x14ac:dyDescent="0.3">
      <c r="A16" s="9" t="s">
        <v>142</v>
      </c>
      <c r="B16" s="7">
        <v>0</v>
      </c>
    </row>
    <row r="17" spans="1:2" x14ac:dyDescent="0.3">
      <c r="A17" s="9" t="s">
        <v>122</v>
      </c>
      <c r="B17" s="7">
        <v>723</v>
      </c>
    </row>
    <row r="23" spans="1:2" x14ac:dyDescent="0.3">
      <c r="A23" t="s">
        <v>125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26E3F-8CD7-4815-9E50-18288726DB88}">
  <dimension ref="A3:B32"/>
  <sheetViews>
    <sheetView workbookViewId="0">
      <selection activeCell="B11" sqref="B11"/>
    </sheetView>
  </sheetViews>
  <sheetFormatPr defaultRowHeight="14.4" x14ac:dyDescent="0.3"/>
  <cols>
    <col min="1" max="1" width="12.5546875" bestFit="1" customWidth="1"/>
    <col min="2" max="2" width="13.5546875" bestFit="1" customWidth="1"/>
  </cols>
  <sheetData>
    <row r="3" spans="1:2" x14ac:dyDescent="0.3">
      <c r="A3" s="8" t="s">
        <v>121</v>
      </c>
      <c r="B3" t="s">
        <v>120</v>
      </c>
    </row>
    <row r="4" spans="1:2" x14ac:dyDescent="0.3">
      <c r="A4" s="10">
        <v>2</v>
      </c>
      <c r="B4" s="7">
        <v>1</v>
      </c>
    </row>
    <row r="5" spans="1:2" x14ac:dyDescent="0.3">
      <c r="A5" s="10">
        <v>2.1</v>
      </c>
      <c r="B5" s="7">
        <v>20</v>
      </c>
    </row>
    <row r="6" spans="1:2" x14ac:dyDescent="0.3">
      <c r="A6" s="10">
        <v>2.2000000000000002</v>
      </c>
      <c r="B6" s="7">
        <v>12</v>
      </c>
    </row>
    <row r="7" spans="1:2" x14ac:dyDescent="0.3">
      <c r="A7" s="10">
        <v>2.2999999999999998</v>
      </c>
      <c r="B7" s="7">
        <v>13</v>
      </c>
    </row>
    <row r="8" spans="1:2" x14ac:dyDescent="0.3">
      <c r="A8" s="10">
        <v>2.5</v>
      </c>
      <c r="B8" s="7">
        <v>6</v>
      </c>
    </row>
    <row r="9" spans="1:2" x14ac:dyDescent="0.3">
      <c r="A9" s="10">
        <v>2.6</v>
      </c>
      <c r="B9" s="7">
        <v>17</v>
      </c>
    </row>
    <row r="10" spans="1:2" x14ac:dyDescent="0.3">
      <c r="A10" s="10">
        <v>2.7</v>
      </c>
      <c r="B10" s="7">
        <v>15</v>
      </c>
    </row>
    <row r="11" spans="1:2" x14ac:dyDescent="0.3">
      <c r="A11" s="10">
        <v>2.8</v>
      </c>
      <c r="B11" s="7">
        <v>69</v>
      </c>
    </row>
    <row r="12" spans="1:2" x14ac:dyDescent="0.3">
      <c r="A12" s="10">
        <v>2.9</v>
      </c>
      <c r="B12" s="7">
        <v>16</v>
      </c>
    </row>
    <row r="13" spans="1:2" x14ac:dyDescent="0.3">
      <c r="A13" s="10">
        <v>3</v>
      </c>
      <c r="B13" s="7">
        <v>26</v>
      </c>
    </row>
    <row r="14" spans="1:2" x14ac:dyDescent="0.3">
      <c r="A14" s="10">
        <v>3.3</v>
      </c>
      <c r="B14" s="7">
        <v>13</v>
      </c>
    </row>
    <row r="15" spans="1:2" x14ac:dyDescent="0.3">
      <c r="A15" s="10">
        <v>3.8</v>
      </c>
      <c r="B15" s="7">
        <v>30</v>
      </c>
    </row>
    <row r="16" spans="1:2" x14ac:dyDescent="0.3">
      <c r="A16" s="10">
        <v>4</v>
      </c>
      <c r="B16" s="7">
        <v>24</v>
      </c>
    </row>
    <row r="17" spans="1:2" x14ac:dyDescent="0.3">
      <c r="A17" s="10">
        <v>4.0999999999999996</v>
      </c>
      <c r="B17" s="7">
        <v>46</v>
      </c>
    </row>
    <row r="18" spans="1:2" x14ac:dyDescent="0.3">
      <c r="A18" s="10">
        <v>4.2</v>
      </c>
      <c r="B18" s="7">
        <v>9</v>
      </c>
    </row>
    <row r="19" spans="1:2" x14ac:dyDescent="0.3">
      <c r="A19" s="10">
        <v>4.3</v>
      </c>
      <c r="B19" s="7">
        <v>118</v>
      </c>
    </row>
    <row r="20" spans="1:2" x14ac:dyDescent="0.3">
      <c r="A20" s="10">
        <v>4.4000000000000004</v>
      </c>
      <c r="B20" s="7">
        <v>14</v>
      </c>
    </row>
    <row r="21" spans="1:2" x14ac:dyDescent="0.3">
      <c r="A21" s="10">
        <v>4.5</v>
      </c>
      <c r="B21" s="7">
        <v>8</v>
      </c>
    </row>
    <row r="22" spans="1:2" x14ac:dyDescent="0.3">
      <c r="A22" s="10">
        <v>4.5999999999999996</v>
      </c>
      <c r="B22" s="7">
        <v>177</v>
      </c>
    </row>
    <row r="23" spans="1:2" x14ac:dyDescent="0.3">
      <c r="A23" s="10">
        <v>4.7</v>
      </c>
      <c r="B23" s="7">
        <v>58</v>
      </c>
    </row>
    <row r="24" spans="1:2" x14ac:dyDescent="0.3">
      <c r="A24" s="10">
        <v>4.8</v>
      </c>
      <c r="B24" s="7">
        <v>22</v>
      </c>
    </row>
    <row r="25" spans="1:2" x14ac:dyDescent="0.3">
      <c r="A25" s="10">
        <v>5</v>
      </c>
      <c r="B25" s="7">
        <v>9</v>
      </c>
    </row>
    <row r="26" spans="1:2" x14ac:dyDescent="0.3">
      <c r="A26" s="10" t="s">
        <v>122</v>
      </c>
      <c r="B26" s="7">
        <v>723</v>
      </c>
    </row>
    <row r="32" spans="1:2" x14ac:dyDescent="0.3">
      <c r="A32" t="s">
        <v>126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851F2-FD88-45C3-AD58-F9E01E346E0D}">
  <dimension ref="A3:B112"/>
  <sheetViews>
    <sheetView workbookViewId="0">
      <selection activeCell="D12" sqref="D12"/>
    </sheetView>
  </sheetViews>
  <sheetFormatPr defaultRowHeight="14.4" x14ac:dyDescent="0.3"/>
  <cols>
    <col min="1" max="1" width="87.88671875" bestFit="1" customWidth="1"/>
    <col min="2" max="2" width="26.5546875" bestFit="1" customWidth="1"/>
  </cols>
  <sheetData>
    <row r="3" spans="1:2" x14ac:dyDescent="0.3">
      <c r="A3" s="8" t="s">
        <v>121</v>
      </c>
      <c r="B3" t="s">
        <v>127</v>
      </c>
    </row>
    <row r="4" spans="1:2" x14ac:dyDescent="0.3">
      <c r="A4" s="10" t="s">
        <v>64</v>
      </c>
      <c r="B4" s="11">
        <v>2585</v>
      </c>
    </row>
    <row r="5" spans="1:2" x14ac:dyDescent="0.3">
      <c r="A5" s="10" t="s">
        <v>29</v>
      </c>
      <c r="B5" s="11">
        <v>2452</v>
      </c>
    </row>
    <row r="6" spans="1:2" x14ac:dyDescent="0.3">
      <c r="A6" s="10" t="s">
        <v>70</v>
      </c>
      <c r="B6" s="11">
        <v>2393</v>
      </c>
    </row>
    <row r="7" spans="1:2" x14ac:dyDescent="0.3">
      <c r="A7" s="10" t="s">
        <v>22</v>
      </c>
      <c r="B7" s="11">
        <v>1946</v>
      </c>
    </row>
    <row r="8" spans="1:2" x14ac:dyDescent="0.3">
      <c r="A8" s="10" t="s">
        <v>114</v>
      </c>
      <c r="B8" s="11">
        <v>1880</v>
      </c>
    </row>
    <row r="9" spans="1:2" x14ac:dyDescent="0.3">
      <c r="A9" s="10" t="s">
        <v>43</v>
      </c>
      <c r="B9" s="11">
        <v>1721</v>
      </c>
    </row>
    <row r="10" spans="1:2" x14ac:dyDescent="0.3">
      <c r="A10" s="10" t="s">
        <v>36</v>
      </c>
      <c r="B10" s="6">
        <v>1670</v>
      </c>
    </row>
    <row r="11" spans="1:2" x14ac:dyDescent="0.3">
      <c r="A11" s="10" t="s">
        <v>13</v>
      </c>
      <c r="B11" s="6">
        <v>1526</v>
      </c>
    </row>
    <row r="12" spans="1:2" x14ac:dyDescent="0.3">
      <c r="A12" s="10" t="s">
        <v>76</v>
      </c>
      <c r="B12" s="6">
        <v>1418</v>
      </c>
    </row>
    <row r="13" spans="1:2" x14ac:dyDescent="0.3">
      <c r="A13" s="10" t="s">
        <v>60</v>
      </c>
      <c r="B13" s="11">
        <v>1399</v>
      </c>
    </row>
    <row r="14" spans="1:2" x14ac:dyDescent="0.3">
      <c r="A14" s="10" t="s">
        <v>26</v>
      </c>
      <c r="B14" s="6">
        <v>1360</v>
      </c>
    </row>
    <row r="15" spans="1:2" x14ac:dyDescent="0.3">
      <c r="A15" s="10" t="s">
        <v>14</v>
      </c>
      <c r="B15" s="6">
        <v>1329</v>
      </c>
    </row>
    <row r="16" spans="1:2" x14ac:dyDescent="0.3">
      <c r="A16" s="10" t="s">
        <v>92</v>
      </c>
      <c r="B16" s="6">
        <v>1200</v>
      </c>
    </row>
    <row r="17" spans="1:2" x14ac:dyDescent="0.3">
      <c r="A17" s="10" t="s">
        <v>95</v>
      </c>
      <c r="B17" s="6">
        <v>1200</v>
      </c>
    </row>
    <row r="18" spans="1:2" x14ac:dyDescent="0.3">
      <c r="A18" s="10" t="s">
        <v>39</v>
      </c>
      <c r="B18" s="6">
        <v>1070</v>
      </c>
    </row>
    <row r="19" spans="1:2" x14ac:dyDescent="0.3">
      <c r="A19" s="10" t="s">
        <v>61</v>
      </c>
      <c r="B19" s="6">
        <v>1011</v>
      </c>
    </row>
    <row r="20" spans="1:2" x14ac:dyDescent="0.3">
      <c r="A20" s="10" t="s">
        <v>81</v>
      </c>
      <c r="B20" s="6">
        <v>1010</v>
      </c>
    </row>
    <row r="21" spans="1:2" x14ac:dyDescent="0.3">
      <c r="A21" s="10" t="s">
        <v>48</v>
      </c>
      <c r="B21" s="6">
        <v>1001</v>
      </c>
    </row>
    <row r="22" spans="1:2" x14ac:dyDescent="0.3">
      <c r="A22" s="10" t="s">
        <v>103</v>
      </c>
      <c r="B22" s="6">
        <v>1000</v>
      </c>
    </row>
    <row r="23" spans="1:2" x14ac:dyDescent="0.3">
      <c r="A23" s="10" t="s">
        <v>69</v>
      </c>
      <c r="B23" s="6">
        <v>1000</v>
      </c>
    </row>
    <row r="24" spans="1:2" x14ac:dyDescent="0.3">
      <c r="A24" s="10" t="s">
        <v>24</v>
      </c>
      <c r="B24" s="6">
        <v>968</v>
      </c>
    </row>
    <row r="25" spans="1:2" x14ac:dyDescent="0.3">
      <c r="A25" s="10" t="s">
        <v>102</v>
      </c>
      <c r="B25" s="6">
        <v>948</v>
      </c>
    </row>
    <row r="26" spans="1:2" x14ac:dyDescent="0.3">
      <c r="A26" s="10" t="s">
        <v>82</v>
      </c>
      <c r="B26" s="6">
        <v>941</v>
      </c>
    </row>
    <row r="27" spans="1:2" x14ac:dyDescent="0.3">
      <c r="A27" s="10" t="s">
        <v>72</v>
      </c>
      <c r="B27" s="6">
        <v>940</v>
      </c>
    </row>
    <row r="28" spans="1:2" x14ac:dyDescent="0.3">
      <c r="A28" s="10" t="s">
        <v>8</v>
      </c>
      <c r="B28" s="6">
        <v>919</v>
      </c>
    </row>
    <row r="29" spans="1:2" x14ac:dyDescent="0.3">
      <c r="A29" s="10" t="s">
        <v>42</v>
      </c>
      <c r="B29" s="6">
        <v>900</v>
      </c>
    </row>
    <row r="30" spans="1:2" x14ac:dyDescent="0.3">
      <c r="A30" s="10" t="s">
        <v>58</v>
      </c>
      <c r="B30" s="6">
        <v>898</v>
      </c>
    </row>
    <row r="31" spans="1:2" x14ac:dyDescent="0.3">
      <c r="A31" s="10" t="s">
        <v>91</v>
      </c>
      <c r="B31" s="6">
        <v>850</v>
      </c>
    </row>
    <row r="32" spans="1:2" x14ac:dyDescent="0.3">
      <c r="A32" s="10" t="s">
        <v>75</v>
      </c>
      <c r="B32" s="6">
        <v>846</v>
      </c>
    </row>
    <row r="33" spans="1:2" x14ac:dyDescent="0.3">
      <c r="A33" s="10" t="s">
        <v>83</v>
      </c>
      <c r="B33" s="6">
        <v>830</v>
      </c>
    </row>
    <row r="34" spans="1:2" x14ac:dyDescent="0.3">
      <c r="A34" s="10" t="s">
        <v>68</v>
      </c>
      <c r="B34" s="6">
        <v>824</v>
      </c>
    </row>
    <row r="35" spans="1:2" x14ac:dyDescent="0.3">
      <c r="A35" s="10" t="s">
        <v>19</v>
      </c>
      <c r="B35" s="6">
        <v>819</v>
      </c>
    </row>
    <row r="36" spans="1:2" x14ac:dyDescent="0.3">
      <c r="A36" s="10" t="s">
        <v>94</v>
      </c>
      <c r="B36" s="11">
        <v>800</v>
      </c>
    </row>
    <row r="37" spans="1:2" x14ac:dyDescent="0.3">
      <c r="A37" s="10" t="s">
        <v>101</v>
      </c>
      <c r="B37" s="6">
        <v>794</v>
      </c>
    </row>
    <row r="38" spans="1:2" x14ac:dyDescent="0.3">
      <c r="A38" s="10" t="s">
        <v>51</v>
      </c>
      <c r="B38" s="6">
        <v>750</v>
      </c>
    </row>
    <row r="39" spans="1:2" x14ac:dyDescent="0.3">
      <c r="A39" s="10" t="s">
        <v>33</v>
      </c>
      <c r="B39" s="6">
        <v>741</v>
      </c>
    </row>
    <row r="40" spans="1:2" x14ac:dyDescent="0.3">
      <c r="A40" s="10" t="s">
        <v>7</v>
      </c>
      <c r="B40" s="6">
        <v>724</v>
      </c>
    </row>
    <row r="41" spans="1:2" x14ac:dyDescent="0.3">
      <c r="A41" s="10" t="s">
        <v>38</v>
      </c>
      <c r="B41" s="6">
        <v>719</v>
      </c>
    </row>
    <row r="42" spans="1:2" x14ac:dyDescent="0.3">
      <c r="A42" s="10" t="s">
        <v>11</v>
      </c>
      <c r="B42" s="6">
        <v>713</v>
      </c>
    </row>
    <row r="43" spans="1:2" x14ac:dyDescent="0.3">
      <c r="A43" s="10" t="s">
        <v>37</v>
      </c>
      <c r="B43" s="6">
        <v>710</v>
      </c>
    </row>
    <row r="44" spans="1:2" x14ac:dyDescent="0.3">
      <c r="A44" s="10" t="s">
        <v>23</v>
      </c>
      <c r="B44" s="6">
        <v>700</v>
      </c>
    </row>
    <row r="45" spans="1:2" x14ac:dyDescent="0.3">
      <c r="A45" s="10" t="s">
        <v>77</v>
      </c>
      <c r="B45" s="6">
        <v>695</v>
      </c>
    </row>
    <row r="46" spans="1:2" x14ac:dyDescent="0.3">
      <c r="A46" s="10" t="s">
        <v>50</v>
      </c>
      <c r="B46" s="6">
        <v>645</v>
      </c>
    </row>
    <row r="47" spans="1:2" x14ac:dyDescent="0.3">
      <c r="A47" s="10" t="s">
        <v>59</v>
      </c>
      <c r="B47" s="6">
        <v>644</v>
      </c>
    </row>
    <row r="48" spans="1:2" x14ac:dyDescent="0.3">
      <c r="A48" s="10" t="s">
        <v>32</v>
      </c>
      <c r="B48" s="6">
        <v>640</v>
      </c>
    </row>
    <row r="49" spans="1:2" x14ac:dyDescent="0.3">
      <c r="A49" s="10" t="s">
        <v>31</v>
      </c>
      <c r="B49" s="6">
        <v>640</v>
      </c>
    </row>
    <row r="50" spans="1:2" x14ac:dyDescent="0.3">
      <c r="A50" s="10" t="s">
        <v>107</v>
      </c>
      <c r="B50" s="6">
        <v>620</v>
      </c>
    </row>
    <row r="51" spans="1:2" x14ac:dyDescent="0.3">
      <c r="A51" s="10" t="s">
        <v>9</v>
      </c>
      <c r="B51" s="6">
        <v>616</v>
      </c>
    </row>
    <row r="52" spans="1:2" x14ac:dyDescent="0.3">
      <c r="A52" s="10" t="s">
        <v>49</v>
      </c>
      <c r="B52" s="6">
        <v>595</v>
      </c>
    </row>
    <row r="53" spans="1:2" x14ac:dyDescent="0.3">
      <c r="A53" s="10" t="s">
        <v>12</v>
      </c>
      <c r="B53" s="6">
        <v>592</v>
      </c>
    </row>
    <row r="54" spans="1:2" x14ac:dyDescent="0.3">
      <c r="A54" s="10" t="s">
        <v>106</v>
      </c>
      <c r="B54" s="6">
        <v>587</v>
      </c>
    </row>
    <row r="55" spans="1:2" x14ac:dyDescent="0.3">
      <c r="A55" s="10" t="s">
        <v>5</v>
      </c>
      <c r="B55" s="6">
        <v>575</v>
      </c>
    </row>
    <row r="56" spans="1:2" x14ac:dyDescent="0.3">
      <c r="A56" s="10" t="s">
        <v>57</v>
      </c>
      <c r="B56" s="6">
        <v>544</v>
      </c>
    </row>
    <row r="57" spans="1:2" x14ac:dyDescent="0.3">
      <c r="A57" s="10" t="s">
        <v>63</v>
      </c>
      <c r="B57" s="6">
        <v>528</v>
      </c>
    </row>
    <row r="58" spans="1:2" x14ac:dyDescent="0.3">
      <c r="A58" s="10" t="s">
        <v>35</v>
      </c>
      <c r="B58" s="6">
        <v>510</v>
      </c>
    </row>
    <row r="59" spans="1:2" x14ac:dyDescent="0.3">
      <c r="A59" s="10" t="s">
        <v>78</v>
      </c>
      <c r="B59" s="6">
        <v>510</v>
      </c>
    </row>
    <row r="60" spans="1:2" x14ac:dyDescent="0.3">
      <c r="A60" s="10" t="s">
        <v>16</v>
      </c>
      <c r="B60" s="6">
        <v>510</v>
      </c>
    </row>
    <row r="61" spans="1:2" x14ac:dyDescent="0.3">
      <c r="A61" s="10" t="s">
        <v>100</v>
      </c>
      <c r="B61" s="6">
        <v>504</v>
      </c>
    </row>
    <row r="62" spans="1:2" x14ac:dyDescent="0.3">
      <c r="A62" s="10" t="s">
        <v>28</v>
      </c>
      <c r="B62" s="6">
        <v>500</v>
      </c>
    </row>
    <row r="63" spans="1:2" x14ac:dyDescent="0.3">
      <c r="A63" s="10" t="s">
        <v>17</v>
      </c>
      <c r="B63" s="6">
        <v>483</v>
      </c>
    </row>
    <row r="64" spans="1:2" x14ac:dyDescent="0.3">
      <c r="A64" s="10" t="s">
        <v>52</v>
      </c>
      <c r="B64" s="6">
        <v>474</v>
      </c>
    </row>
    <row r="65" spans="1:2" x14ac:dyDescent="0.3">
      <c r="A65" s="10" t="s">
        <v>6</v>
      </c>
      <c r="B65" s="6">
        <v>472</v>
      </c>
    </row>
    <row r="66" spans="1:2" x14ac:dyDescent="0.3">
      <c r="A66" s="10" t="s">
        <v>90</v>
      </c>
      <c r="B66" s="6">
        <v>470</v>
      </c>
    </row>
    <row r="67" spans="1:2" x14ac:dyDescent="0.3">
      <c r="A67" s="10" t="s">
        <v>27</v>
      </c>
      <c r="B67" s="6">
        <v>470</v>
      </c>
    </row>
    <row r="68" spans="1:2" x14ac:dyDescent="0.3">
      <c r="A68" s="10" t="s">
        <v>44</v>
      </c>
      <c r="B68" s="6">
        <v>456</v>
      </c>
    </row>
    <row r="69" spans="1:2" x14ac:dyDescent="0.3">
      <c r="A69" s="10" t="s">
        <v>111</v>
      </c>
      <c r="B69" s="6">
        <v>450</v>
      </c>
    </row>
    <row r="70" spans="1:2" x14ac:dyDescent="0.3">
      <c r="A70" s="10" t="s">
        <v>46</v>
      </c>
      <c r="B70" s="6">
        <v>450</v>
      </c>
    </row>
    <row r="71" spans="1:2" x14ac:dyDescent="0.3">
      <c r="A71" s="10" t="s">
        <v>65</v>
      </c>
      <c r="B71" s="6">
        <v>428</v>
      </c>
    </row>
    <row r="72" spans="1:2" x14ac:dyDescent="0.3">
      <c r="A72" s="10" t="s">
        <v>74</v>
      </c>
      <c r="B72" s="6">
        <v>390</v>
      </c>
    </row>
    <row r="73" spans="1:2" x14ac:dyDescent="0.3">
      <c r="A73" s="10" t="s">
        <v>18</v>
      </c>
      <c r="B73" s="6">
        <v>359</v>
      </c>
    </row>
    <row r="74" spans="1:2" x14ac:dyDescent="0.3">
      <c r="A74" s="10" t="s">
        <v>66</v>
      </c>
      <c r="B74" s="6">
        <v>355</v>
      </c>
    </row>
    <row r="75" spans="1:2" x14ac:dyDescent="0.3">
      <c r="A75" s="10" t="s">
        <v>110</v>
      </c>
      <c r="B75" s="6">
        <v>354</v>
      </c>
    </row>
    <row r="76" spans="1:2" x14ac:dyDescent="0.3">
      <c r="A76" s="10" t="s">
        <v>20</v>
      </c>
      <c r="B76" s="6">
        <v>352</v>
      </c>
    </row>
    <row r="77" spans="1:2" x14ac:dyDescent="0.3">
      <c r="A77" s="10" t="s">
        <v>67</v>
      </c>
      <c r="B77" s="6">
        <v>335</v>
      </c>
    </row>
    <row r="78" spans="1:2" x14ac:dyDescent="0.3">
      <c r="A78" s="10" t="s">
        <v>62</v>
      </c>
      <c r="B78" s="6">
        <v>330</v>
      </c>
    </row>
    <row r="79" spans="1:2" x14ac:dyDescent="0.3">
      <c r="A79" s="10" t="s">
        <v>71</v>
      </c>
      <c r="B79" s="6">
        <v>318</v>
      </c>
    </row>
    <row r="80" spans="1:2" x14ac:dyDescent="0.3">
      <c r="A80" s="10" t="s">
        <v>85</v>
      </c>
      <c r="B80" s="6">
        <v>317</v>
      </c>
    </row>
    <row r="81" spans="1:2" x14ac:dyDescent="0.3">
      <c r="A81" s="10" t="s">
        <v>53</v>
      </c>
      <c r="B81" s="6">
        <v>301</v>
      </c>
    </row>
    <row r="82" spans="1:2" x14ac:dyDescent="0.3">
      <c r="A82" s="10" t="s">
        <v>10</v>
      </c>
      <c r="B82" s="6">
        <v>291</v>
      </c>
    </row>
    <row r="83" spans="1:2" x14ac:dyDescent="0.3">
      <c r="A83" s="10" t="s">
        <v>41</v>
      </c>
      <c r="B83" s="6">
        <v>267</v>
      </c>
    </row>
    <row r="84" spans="1:2" x14ac:dyDescent="0.3">
      <c r="A84" s="10" t="s">
        <v>87</v>
      </c>
      <c r="B84" s="6">
        <v>263</v>
      </c>
    </row>
    <row r="85" spans="1:2" x14ac:dyDescent="0.3">
      <c r="A85" s="10" t="s">
        <v>73</v>
      </c>
      <c r="B85" s="6">
        <v>257</v>
      </c>
    </row>
    <row r="86" spans="1:2" x14ac:dyDescent="0.3">
      <c r="A86" s="10" t="s">
        <v>98</v>
      </c>
      <c r="B86" s="6">
        <v>238</v>
      </c>
    </row>
    <row r="87" spans="1:2" x14ac:dyDescent="0.3">
      <c r="A87" s="10" t="s">
        <v>45</v>
      </c>
      <c r="B87" s="6">
        <v>238</v>
      </c>
    </row>
    <row r="88" spans="1:2" x14ac:dyDescent="0.3">
      <c r="A88" s="10" t="s">
        <v>86</v>
      </c>
      <c r="B88" s="6">
        <v>233</v>
      </c>
    </row>
    <row r="89" spans="1:2" x14ac:dyDescent="0.3">
      <c r="A89" s="10" t="s">
        <v>89</v>
      </c>
      <c r="B89" s="6">
        <v>231</v>
      </c>
    </row>
    <row r="90" spans="1:2" x14ac:dyDescent="0.3">
      <c r="A90" s="10" t="s">
        <v>30</v>
      </c>
      <c r="B90" s="6">
        <v>227</v>
      </c>
    </row>
    <row r="91" spans="1:2" x14ac:dyDescent="0.3">
      <c r="A91" s="10" t="s">
        <v>80</v>
      </c>
      <c r="B91" s="6">
        <v>220</v>
      </c>
    </row>
    <row r="92" spans="1:2" x14ac:dyDescent="0.3">
      <c r="A92" s="10" t="s">
        <v>15</v>
      </c>
      <c r="B92" s="6">
        <v>200</v>
      </c>
    </row>
    <row r="93" spans="1:2" x14ac:dyDescent="0.3">
      <c r="A93" s="10" t="s">
        <v>34</v>
      </c>
      <c r="B93" s="6">
        <v>197</v>
      </c>
    </row>
    <row r="94" spans="1:2" x14ac:dyDescent="0.3">
      <c r="A94" s="10" t="s">
        <v>40</v>
      </c>
      <c r="B94" s="6">
        <v>189</v>
      </c>
    </row>
    <row r="95" spans="1:2" x14ac:dyDescent="0.3">
      <c r="A95" s="10" t="s">
        <v>21</v>
      </c>
      <c r="B95" s="6">
        <v>165</v>
      </c>
    </row>
    <row r="96" spans="1:2" x14ac:dyDescent="0.3">
      <c r="A96" s="10" t="s">
        <v>99</v>
      </c>
      <c r="B96" s="11">
        <v>153</v>
      </c>
    </row>
    <row r="97" spans="1:2" x14ac:dyDescent="0.3">
      <c r="A97" s="10" t="s">
        <v>112</v>
      </c>
      <c r="B97" s="6">
        <v>151</v>
      </c>
    </row>
    <row r="98" spans="1:2" x14ac:dyDescent="0.3">
      <c r="A98" s="10" t="s">
        <v>96</v>
      </c>
      <c r="B98" s="6">
        <v>134</v>
      </c>
    </row>
    <row r="99" spans="1:2" x14ac:dyDescent="0.3">
      <c r="A99" s="10" t="s">
        <v>88</v>
      </c>
      <c r="B99" s="6">
        <v>101</v>
      </c>
    </row>
    <row r="100" spans="1:2" x14ac:dyDescent="0.3">
      <c r="A100" s="10" t="s">
        <v>93</v>
      </c>
      <c r="B100" s="6">
        <v>95</v>
      </c>
    </row>
    <row r="101" spans="1:2" x14ac:dyDescent="0.3">
      <c r="A101" s="10" t="s">
        <v>55</v>
      </c>
      <c r="B101" s="6">
        <v>85</v>
      </c>
    </row>
    <row r="102" spans="1:2" x14ac:dyDescent="0.3">
      <c r="A102" s="10" t="s">
        <v>79</v>
      </c>
      <c r="B102" s="6">
        <v>67</v>
      </c>
    </row>
    <row r="103" spans="1:2" x14ac:dyDescent="0.3">
      <c r="A103" s="10" t="s">
        <v>105</v>
      </c>
      <c r="B103" s="6">
        <v>62</v>
      </c>
    </row>
    <row r="104" spans="1:2" x14ac:dyDescent="0.3">
      <c r="A104" s="10" t="s">
        <v>25</v>
      </c>
      <c r="B104" s="6">
        <v>42</v>
      </c>
    </row>
    <row r="105" spans="1:2" x14ac:dyDescent="0.3">
      <c r="A105" s="10" t="s">
        <v>108</v>
      </c>
      <c r="B105" s="6">
        <v>41</v>
      </c>
    </row>
    <row r="106" spans="1:2" x14ac:dyDescent="0.3">
      <c r="A106" s="10" t="s">
        <v>56</v>
      </c>
      <c r="B106" s="6">
        <v>40</v>
      </c>
    </row>
    <row r="107" spans="1:2" x14ac:dyDescent="0.3">
      <c r="A107" s="10" t="s">
        <v>54</v>
      </c>
      <c r="B107" s="6">
        <v>39</v>
      </c>
    </row>
    <row r="108" spans="1:2" x14ac:dyDescent="0.3">
      <c r="A108" s="10" t="s">
        <v>47</v>
      </c>
      <c r="B108" s="6">
        <v>37</v>
      </c>
    </row>
    <row r="109" spans="1:2" x14ac:dyDescent="0.3">
      <c r="A109" s="10" t="s">
        <v>97</v>
      </c>
      <c r="B109" s="6">
        <v>37</v>
      </c>
    </row>
    <row r="110" spans="1:2" x14ac:dyDescent="0.3">
      <c r="A110" s="10" t="s">
        <v>84</v>
      </c>
      <c r="B110" s="6">
        <v>33</v>
      </c>
    </row>
    <row r="111" spans="1:2" x14ac:dyDescent="0.3">
      <c r="A111" s="10" t="s">
        <v>109</v>
      </c>
      <c r="B111" s="11">
        <v>31</v>
      </c>
    </row>
    <row r="112" spans="1:2" x14ac:dyDescent="0.3">
      <c r="A112" s="10" t="s">
        <v>122</v>
      </c>
      <c r="B112" s="6">
        <v>69888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6EC03-3B15-49CD-88A3-8731389D21BA}">
  <dimension ref="A3:B112"/>
  <sheetViews>
    <sheetView workbookViewId="0">
      <selection activeCell="E9" sqref="E9"/>
    </sheetView>
  </sheetViews>
  <sheetFormatPr defaultRowHeight="14.4" x14ac:dyDescent="0.3"/>
  <cols>
    <col min="1" max="1" width="87.88671875" bestFit="1" customWidth="1"/>
    <col min="2" max="2" width="13.5546875" bestFit="1" customWidth="1"/>
  </cols>
  <sheetData>
    <row r="3" spans="1:2" x14ac:dyDescent="0.3">
      <c r="A3" s="8" t="s">
        <v>121</v>
      </c>
      <c r="B3" t="s">
        <v>120</v>
      </c>
    </row>
    <row r="4" spans="1:2" x14ac:dyDescent="0.3">
      <c r="A4" s="10" t="s">
        <v>65</v>
      </c>
      <c r="B4" s="12">
        <v>69</v>
      </c>
    </row>
    <row r="5" spans="1:2" x14ac:dyDescent="0.3">
      <c r="A5" s="10" t="s">
        <v>11</v>
      </c>
      <c r="B5" s="12">
        <v>55</v>
      </c>
    </row>
    <row r="6" spans="1:2" x14ac:dyDescent="0.3">
      <c r="A6" s="10" t="s">
        <v>30</v>
      </c>
      <c r="B6" s="12">
        <v>49</v>
      </c>
    </row>
    <row r="7" spans="1:2" x14ac:dyDescent="0.3">
      <c r="A7" s="10" t="s">
        <v>24</v>
      </c>
      <c r="B7" s="12">
        <v>44</v>
      </c>
    </row>
    <row r="8" spans="1:2" x14ac:dyDescent="0.3">
      <c r="A8" s="10" t="s">
        <v>16</v>
      </c>
      <c r="B8" s="12">
        <v>39</v>
      </c>
    </row>
    <row r="9" spans="1:2" x14ac:dyDescent="0.3">
      <c r="A9" s="10" t="s">
        <v>41</v>
      </c>
      <c r="B9" s="12">
        <v>36</v>
      </c>
    </row>
    <row r="10" spans="1:2" x14ac:dyDescent="0.3">
      <c r="A10" s="10" t="s">
        <v>38</v>
      </c>
      <c r="B10" s="12">
        <v>32</v>
      </c>
    </row>
    <row r="11" spans="1:2" x14ac:dyDescent="0.3">
      <c r="A11" s="10" t="s">
        <v>7</v>
      </c>
      <c r="B11" s="12">
        <v>24</v>
      </c>
    </row>
    <row r="12" spans="1:2" x14ac:dyDescent="0.3">
      <c r="A12" s="10" t="s">
        <v>37</v>
      </c>
      <c r="B12" s="12">
        <v>20</v>
      </c>
    </row>
    <row r="13" spans="1:2" x14ac:dyDescent="0.3">
      <c r="A13" s="10" t="s">
        <v>33</v>
      </c>
      <c r="B13" s="12">
        <v>20</v>
      </c>
    </row>
    <row r="14" spans="1:2" x14ac:dyDescent="0.3">
      <c r="A14" s="10" t="s">
        <v>71</v>
      </c>
      <c r="B14" s="7">
        <v>17</v>
      </c>
    </row>
    <row r="15" spans="1:2" x14ac:dyDescent="0.3">
      <c r="A15" s="10" t="s">
        <v>67</v>
      </c>
      <c r="B15" s="7">
        <v>16</v>
      </c>
    </row>
    <row r="16" spans="1:2" x14ac:dyDescent="0.3">
      <c r="A16" s="10" t="s">
        <v>66</v>
      </c>
      <c r="B16" s="7">
        <v>15</v>
      </c>
    </row>
    <row r="17" spans="1:2" x14ac:dyDescent="0.3">
      <c r="A17" s="10" t="s">
        <v>10</v>
      </c>
      <c r="B17" s="7">
        <v>15</v>
      </c>
    </row>
    <row r="18" spans="1:2" x14ac:dyDescent="0.3">
      <c r="A18" s="10" t="s">
        <v>6</v>
      </c>
      <c r="B18" s="7">
        <v>14</v>
      </c>
    </row>
    <row r="19" spans="1:2" x14ac:dyDescent="0.3">
      <c r="A19" s="10" t="s">
        <v>28</v>
      </c>
      <c r="B19" s="7">
        <v>14</v>
      </c>
    </row>
    <row r="20" spans="1:2" x14ac:dyDescent="0.3">
      <c r="A20" s="10" t="s">
        <v>32</v>
      </c>
      <c r="B20" s="7">
        <v>13</v>
      </c>
    </row>
    <row r="21" spans="1:2" x14ac:dyDescent="0.3">
      <c r="A21" s="10" t="s">
        <v>25</v>
      </c>
      <c r="B21" s="7">
        <v>13</v>
      </c>
    </row>
    <row r="22" spans="1:2" x14ac:dyDescent="0.3">
      <c r="A22" s="10" t="s">
        <v>64</v>
      </c>
      <c r="B22" s="7">
        <v>13</v>
      </c>
    </row>
    <row r="23" spans="1:2" x14ac:dyDescent="0.3">
      <c r="A23" s="10" t="s">
        <v>17</v>
      </c>
      <c r="B23" s="7">
        <v>12</v>
      </c>
    </row>
    <row r="24" spans="1:2" x14ac:dyDescent="0.3">
      <c r="A24" s="10" t="s">
        <v>31</v>
      </c>
      <c r="B24" s="7">
        <v>12</v>
      </c>
    </row>
    <row r="25" spans="1:2" x14ac:dyDescent="0.3">
      <c r="A25" s="10" t="s">
        <v>15</v>
      </c>
      <c r="B25" s="7">
        <v>12</v>
      </c>
    </row>
    <row r="26" spans="1:2" x14ac:dyDescent="0.3">
      <c r="A26" s="10" t="s">
        <v>35</v>
      </c>
      <c r="B26" s="7">
        <v>12</v>
      </c>
    </row>
    <row r="27" spans="1:2" x14ac:dyDescent="0.3">
      <c r="A27" s="10" t="s">
        <v>63</v>
      </c>
      <c r="B27" s="7">
        <v>10</v>
      </c>
    </row>
    <row r="28" spans="1:2" x14ac:dyDescent="0.3">
      <c r="A28" s="10" t="s">
        <v>34</v>
      </c>
      <c r="B28" s="7">
        <v>9</v>
      </c>
    </row>
    <row r="29" spans="1:2" x14ac:dyDescent="0.3">
      <c r="A29" s="10" t="s">
        <v>19</v>
      </c>
      <c r="B29" s="7">
        <v>9</v>
      </c>
    </row>
    <row r="30" spans="1:2" x14ac:dyDescent="0.3">
      <c r="A30" s="10" t="s">
        <v>36</v>
      </c>
      <c r="B30" s="7">
        <v>9</v>
      </c>
    </row>
    <row r="31" spans="1:2" x14ac:dyDescent="0.3">
      <c r="A31" s="10" t="s">
        <v>29</v>
      </c>
      <c r="B31" s="7">
        <v>7</v>
      </c>
    </row>
    <row r="32" spans="1:2" x14ac:dyDescent="0.3">
      <c r="A32" s="10" t="s">
        <v>69</v>
      </c>
      <c r="B32" s="7">
        <v>7</v>
      </c>
    </row>
    <row r="33" spans="1:2" x14ac:dyDescent="0.3">
      <c r="A33" s="10" t="s">
        <v>76</v>
      </c>
      <c r="B33" s="7">
        <v>7</v>
      </c>
    </row>
    <row r="34" spans="1:2" x14ac:dyDescent="0.3">
      <c r="A34" s="10" t="s">
        <v>8</v>
      </c>
      <c r="B34" s="7">
        <v>7</v>
      </c>
    </row>
    <row r="35" spans="1:2" x14ac:dyDescent="0.3">
      <c r="A35" s="10" t="s">
        <v>18</v>
      </c>
      <c r="B35" s="7">
        <v>6</v>
      </c>
    </row>
    <row r="36" spans="1:2" x14ac:dyDescent="0.3">
      <c r="A36" s="10" t="s">
        <v>73</v>
      </c>
      <c r="B36" s="7">
        <v>6</v>
      </c>
    </row>
    <row r="37" spans="1:2" x14ac:dyDescent="0.3">
      <c r="A37" s="10" t="s">
        <v>68</v>
      </c>
      <c r="B37" s="7">
        <v>6</v>
      </c>
    </row>
    <row r="38" spans="1:2" x14ac:dyDescent="0.3">
      <c r="A38" s="10" t="s">
        <v>27</v>
      </c>
      <c r="B38" s="7">
        <v>6</v>
      </c>
    </row>
    <row r="39" spans="1:2" x14ac:dyDescent="0.3">
      <c r="A39" s="10" t="s">
        <v>62</v>
      </c>
      <c r="B39" s="7">
        <v>6</v>
      </c>
    </row>
    <row r="40" spans="1:2" x14ac:dyDescent="0.3">
      <c r="A40" s="10" t="s">
        <v>75</v>
      </c>
      <c r="B40" s="7">
        <v>6</v>
      </c>
    </row>
    <row r="41" spans="1:2" x14ac:dyDescent="0.3">
      <c r="A41" s="10" t="s">
        <v>72</v>
      </c>
      <c r="B41" s="7">
        <v>5</v>
      </c>
    </row>
    <row r="42" spans="1:2" x14ac:dyDescent="0.3">
      <c r="A42" s="10" t="s">
        <v>23</v>
      </c>
      <c r="B42" s="7">
        <v>5</v>
      </c>
    </row>
    <row r="43" spans="1:2" x14ac:dyDescent="0.3">
      <c r="A43" s="10" t="s">
        <v>14</v>
      </c>
      <c r="B43" s="7">
        <v>5</v>
      </c>
    </row>
    <row r="44" spans="1:2" x14ac:dyDescent="0.3">
      <c r="A44" s="10" t="s">
        <v>9</v>
      </c>
      <c r="B44" s="7">
        <v>5</v>
      </c>
    </row>
    <row r="45" spans="1:2" x14ac:dyDescent="0.3">
      <c r="A45" s="10" t="s">
        <v>13</v>
      </c>
      <c r="B45" s="7">
        <v>5</v>
      </c>
    </row>
    <row r="46" spans="1:2" x14ac:dyDescent="0.3">
      <c r="A46" s="10" t="s">
        <v>70</v>
      </c>
      <c r="B46" s="7">
        <v>5</v>
      </c>
    </row>
    <row r="47" spans="1:2" x14ac:dyDescent="0.3">
      <c r="A47" s="10" t="s">
        <v>74</v>
      </c>
      <c r="B47" s="7">
        <v>5</v>
      </c>
    </row>
    <row r="48" spans="1:2" x14ac:dyDescent="0.3">
      <c r="A48" s="10" t="s">
        <v>22</v>
      </c>
      <c r="B48" s="7">
        <v>3</v>
      </c>
    </row>
    <row r="49" spans="1:2" x14ac:dyDescent="0.3">
      <c r="A49" s="10" t="s">
        <v>20</v>
      </c>
      <c r="B49" s="7">
        <v>2</v>
      </c>
    </row>
    <row r="50" spans="1:2" x14ac:dyDescent="0.3">
      <c r="A50" s="10" t="s">
        <v>40</v>
      </c>
      <c r="B50" s="7">
        <v>2</v>
      </c>
    </row>
    <row r="51" spans="1:2" x14ac:dyDescent="0.3">
      <c r="A51" s="10" t="s">
        <v>21</v>
      </c>
      <c r="B51" s="7">
        <v>2</v>
      </c>
    </row>
    <row r="52" spans="1:2" x14ac:dyDescent="0.3">
      <c r="A52" s="10" t="s">
        <v>12</v>
      </c>
      <c r="B52" s="7">
        <v>2</v>
      </c>
    </row>
    <row r="53" spans="1:2" x14ac:dyDescent="0.3">
      <c r="A53" s="10" t="s">
        <v>5</v>
      </c>
      <c r="B53" s="7">
        <v>2</v>
      </c>
    </row>
    <row r="54" spans="1:2" x14ac:dyDescent="0.3">
      <c r="A54" s="10" t="s">
        <v>42</v>
      </c>
      <c r="B54" s="7">
        <v>2</v>
      </c>
    </row>
    <row r="55" spans="1:2" x14ac:dyDescent="0.3">
      <c r="A55" s="10" t="s">
        <v>102</v>
      </c>
      <c r="B55" s="7">
        <v>1</v>
      </c>
    </row>
    <row r="56" spans="1:2" x14ac:dyDescent="0.3">
      <c r="A56" s="10" t="s">
        <v>82</v>
      </c>
      <c r="B56" s="7">
        <v>1</v>
      </c>
    </row>
    <row r="57" spans="1:2" x14ac:dyDescent="0.3">
      <c r="A57" s="10" t="s">
        <v>81</v>
      </c>
      <c r="B57" s="7">
        <v>1</v>
      </c>
    </row>
    <row r="58" spans="1:2" x14ac:dyDescent="0.3">
      <c r="A58" s="10" t="s">
        <v>39</v>
      </c>
      <c r="B58" s="7">
        <v>1</v>
      </c>
    </row>
    <row r="59" spans="1:2" x14ac:dyDescent="0.3">
      <c r="A59" s="10" t="s">
        <v>85</v>
      </c>
      <c r="B59" s="7">
        <v>1</v>
      </c>
    </row>
    <row r="60" spans="1:2" x14ac:dyDescent="0.3">
      <c r="A60" s="10" t="s">
        <v>111</v>
      </c>
      <c r="B60" s="7">
        <v>1</v>
      </c>
    </row>
    <row r="61" spans="1:2" x14ac:dyDescent="0.3">
      <c r="A61" s="10" t="s">
        <v>55</v>
      </c>
      <c r="B61" s="7">
        <v>0</v>
      </c>
    </row>
    <row r="62" spans="1:2" x14ac:dyDescent="0.3">
      <c r="A62" s="10" t="s">
        <v>90</v>
      </c>
      <c r="B62" s="7">
        <v>0</v>
      </c>
    </row>
    <row r="63" spans="1:2" x14ac:dyDescent="0.3">
      <c r="A63" s="10" t="s">
        <v>47</v>
      </c>
      <c r="B63" s="7">
        <v>0</v>
      </c>
    </row>
    <row r="64" spans="1:2" x14ac:dyDescent="0.3">
      <c r="A64" s="10" t="s">
        <v>61</v>
      </c>
      <c r="B64" s="7">
        <v>0</v>
      </c>
    </row>
    <row r="65" spans="1:2" x14ac:dyDescent="0.3">
      <c r="A65" s="10" t="s">
        <v>86</v>
      </c>
      <c r="B65" s="7">
        <v>0</v>
      </c>
    </row>
    <row r="66" spans="1:2" x14ac:dyDescent="0.3">
      <c r="A66" s="10" t="s">
        <v>83</v>
      </c>
      <c r="B66" s="7">
        <v>0</v>
      </c>
    </row>
    <row r="67" spans="1:2" x14ac:dyDescent="0.3">
      <c r="A67" s="10" t="s">
        <v>50</v>
      </c>
      <c r="B67" s="7">
        <v>0</v>
      </c>
    </row>
    <row r="68" spans="1:2" x14ac:dyDescent="0.3">
      <c r="A68" s="10" t="s">
        <v>78</v>
      </c>
      <c r="B68" s="7">
        <v>0</v>
      </c>
    </row>
    <row r="69" spans="1:2" x14ac:dyDescent="0.3">
      <c r="A69" s="10" t="s">
        <v>107</v>
      </c>
      <c r="B69" s="7">
        <v>0</v>
      </c>
    </row>
    <row r="70" spans="1:2" x14ac:dyDescent="0.3">
      <c r="A70" s="10" t="s">
        <v>110</v>
      </c>
      <c r="B70" s="7">
        <v>0</v>
      </c>
    </row>
    <row r="71" spans="1:2" x14ac:dyDescent="0.3">
      <c r="A71" s="10" t="s">
        <v>56</v>
      </c>
      <c r="B71" s="7">
        <v>0</v>
      </c>
    </row>
    <row r="72" spans="1:2" x14ac:dyDescent="0.3">
      <c r="A72" s="10" t="s">
        <v>77</v>
      </c>
      <c r="B72" s="7">
        <v>0</v>
      </c>
    </row>
    <row r="73" spans="1:2" x14ac:dyDescent="0.3">
      <c r="A73" s="10" t="s">
        <v>52</v>
      </c>
      <c r="B73" s="7">
        <v>0</v>
      </c>
    </row>
    <row r="74" spans="1:2" x14ac:dyDescent="0.3">
      <c r="A74" s="10" t="s">
        <v>94</v>
      </c>
      <c r="B74" s="7">
        <v>0</v>
      </c>
    </row>
    <row r="75" spans="1:2" x14ac:dyDescent="0.3">
      <c r="A75" s="10" t="s">
        <v>53</v>
      </c>
      <c r="B75" s="7">
        <v>0</v>
      </c>
    </row>
    <row r="76" spans="1:2" x14ac:dyDescent="0.3">
      <c r="A76" s="10" t="s">
        <v>57</v>
      </c>
      <c r="B76" s="7">
        <v>0</v>
      </c>
    </row>
    <row r="77" spans="1:2" x14ac:dyDescent="0.3">
      <c r="A77" s="10" t="s">
        <v>87</v>
      </c>
      <c r="B77" s="7">
        <v>0</v>
      </c>
    </row>
    <row r="78" spans="1:2" x14ac:dyDescent="0.3">
      <c r="A78" s="10" t="s">
        <v>49</v>
      </c>
      <c r="B78" s="7">
        <v>0</v>
      </c>
    </row>
    <row r="79" spans="1:2" x14ac:dyDescent="0.3">
      <c r="A79" s="10" t="s">
        <v>58</v>
      </c>
      <c r="B79" s="7">
        <v>0</v>
      </c>
    </row>
    <row r="80" spans="1:2" x14ac:dyDescent="0.3">
      <c r="A80" s="10" t="s">
        <v>80</v>
      </c>
      <c r="B80" s="7">
        <v>0</v>
      </c>
    </row>
    <row r="81" spans="1:2" x14ac:dyDescent="0.3">
      <c r="A81" s="10" t="s">
        <v>84</v>
      </c>
      <c r="B81" s="7">
        <v>0</v>
      </c>
    </row>
    <row r="82" spans="1:2" x14ac:dyDescent="0.3">
      <c r="A82" s="10" t="s">
        <v>95</v>
      </c>
      <c r="B82" s="7">
        <v>0</v>
      </c>
    </row>
    <row r="83" spans="1:2" x14ac:dyDescent="0.3">
      <c r="A83" s="10" t="s">
        <v>114</v>
      </c>
      <c r="B83" s="7">
        <v>0</v>
      </c>
    </row>
    <row r="84" spans="1:2" x14ac:dyDescent="0.3">
      <c r="A84" s="10" t="s">
        <v>101</v>
      </c>
      <c r="B84" s="7">
        <v>0</v>
      </c>
    </row>
    <row r="85" spans="1:2" x14ac:dyDescent="0.3">
      <c r="A85" s="10" t="s">
        <v>46</v>
      </c>
      <c r="B85" s="7">
        <v>0</v>
      </c>
    </row>
    <row r="86" spans="1:2" x14ac:dyDescent="0.3">
      <c r="A86" s="10" t="s">
        <v>103</v>
      </c>
      <c r="B86" s="7">
        <v>0</v>
      </c>
    </row>
    <row r="87" spans="1:2" x14ac:dyDescent="0.3">
      <c r="A87" s="10" t="s">
        <v>88</v>
      </c>
      <c r="B87" s="7">
        <v>0</v>
      </c>
    </row>
    <row r="88" spans="1:2" x14ac:dyDescent="0.3">
      <c r="A88" s="10" t="s">
        <v>43</v>
      </c>
      <c r="B88" s="7">
        <v>0</v>
      </c>
    </row>
    <row r="89" spans="1:2" x14ac:dyDescent="0.3">
      <c r="A89" s="10" t="s">
        <v>54</v>
      </c>
      <c r="B89" s="7">
        <v>0</v>
      </c>
    </row>
    <row r="90" spans="1:2" x14ac:dyDescent="0.3">
      <c r="A90" s="10" t="s">
        <v>98</v>
      </c>
      <c r="B90" s="7">
        <v>0</v>
      </c>
    </row>
    <row r="91" spans="1:2" x14ac:dyDescent="0.3">
      <c r="A91" s="10" t="s">
        <v>112</v>
      </c>
      <c r="B91" s="7">
        <v>0</v>
      </c>
    </row>
    <row r="92" spans="1:2" x14ac:dyDescent="0.3">
      <c r="A92" s="10" t="s">
        <v>60</v>
      </c>
      <c r="B92" s="7">
        <v>0</v>
      </c>
    </row>
    <row r="93" spans="1:2" x14ac:dyDescent="0.3">
      <c r="A93" s="10" t="s">
        <v>97</v>
      </c>
      <c r="B93" s="7">
        <v>0</v>
      </c>
    </row>
    <row r="94" spans="1:2" x14ac:dyDescent="0.3">
      <c r="A94" s="10" t="s">
        <v>106</v>
      </c>
      <c r="B94" s="7">
        <v>0</v>
      </c>
    </row>
    <row r="95" spans="1:2" x14ac:dyDescent="0.3">
      <c r="A95" s="10" t="s">
        <v>92</v>
      </c>
      <c r="B95" s="7">
        <v>0</v>
      </c>
    </row>
    <row r="96" spans="1:2" x14ac:dyDescent="0.3">
      <c r="A96" s="10" t="s">
        <v>51</v>
      </c>
      <c r="B96" s="7">
        <v>0</v>
      </c>
    </row>
    <row r="97" spans="1:2" x14ac:dyDescent="0.3">
      <c r="A97" s="10" t="s">
        <v>93</v>
      </c>
      <c r="B97" s="7">
        <v>0</v>
      </c>
    </row>
    <row r="98" spans="1:2" x14ac:dyDescent="0.3">
      <c r="A98" s="10" t="s">
        <v>105</v>
      </c>
      <c r="B98" s="7">
        <v>0</v>
      </c>
    </row>
    <row r="99" spans="1:2" x14ac:dyDescent="0.3">
      <c r="A99" s="10" t="s">
        <v>108</v>
      </c>
      <c r="B99" s="7">
        <v>0</v>
      </c>
    </row>
    <row r="100" spans="1:2" x14ac:dyDescent="0.3">
      <c r="A100" s="10" t="s">
        <v>96</v>
      </c>
      <c r="B100" s="7">
        <v>0</v>
      </c>
    </row>
    <row r="101" spans="1:2" x14ac:dyDescent="0.3">
      <c r="A101" s="10" t="s">
        <v>109</v>
      </c>
      <c r="B101" s="7">
        <v>0</v>
      </c>
    </row>
    <row r="102" spans="1:2" x14ac:dyDescent="0.3">
      <c r="A102" s="10" t="s">
        <v>89</v>
      </c>
      <c r="B102" s="7">
        <v>0</v>
      </c>
    </row>
    <row r="103" spans="1:2" x14ac:dyDescent="0.3">
      <c r="A103" s="10" t="s">
        <v>91</v>
      </c>
      <c r="B103" s="7">
        <v>0</v>
      </c>
    </row>
    <row r="104" spans="1:2" x14ac:dyDescent="0.3">
      <c r="A104" s="10" t="s">
        <v>59</v>
      </c>
      <c r="B104" s="7">
        <v>0</v>
      </c>
    </row>
    <row r="105" spans="1:2" x14ac:dyDescent="0.3">
      <c r="A105" s="10" t="s">
        <v>100</v>
      </c>
      <c r="B105" s="7">
        <v>0</v>
      </c>
    </row>
    <row r="106" spans="1:2" x14ac:dyDescent="0.3">
      <c r="A106" s="10" t="s">
        <v>44</v>
      </c>
      <c r="B106" s="7">
        <v>0</v>
      </c>
    </row>
    <row r="107" spans="1:2" x14ac:dyDescent="0.3">
      <c r="A107" s="10" t="s">
        <v>48</v>
      </c>
      <c r="B107" s="7">
        <v>0</v>
      </c>
    </row>
    <row r="108" spans="1:2" x14ac:dyDescent="0.3">
      <c r="A108" s="10" t="s">
        <v>99</v>
      </c>
      <c r="B108" s="7">
        <v>0</v>
      </c>
    </row>
    <row r="109" spans="1:2" x14ac:dyDescent="0.3">
      <c r="A109" s="10" t="s">
        <v>26</v>
      </c>
      <c r="B109" s="7">
        <v>0</v>
      </c>
    </row>
    <row r="110" spans="1:2" x14ac:dyDescent="0.3">
      <c r="A110" s="10" t="s">
        <v>45</v>
      </c>
      <c r="B110" s="7">
        <v>0</v>
      </c>
    </row>
    <row r="111" spans="1:2" x14ac:dyDescent="0.3">
      <c r="A111" s="10" t="s">
        <v>79</v>
      </c>
      <c r="B111" s="7">
        <v>0</v>
      </c>
    </row>
    <row r="112" spans="1:2" x14ac:dyDescent="0.3">
      <c r="A112" s="10" t="s">
        <v>122</v>
      </c>
      <c r="B112" s="7">
        <v>723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129B7-279D-4064-99F3-C6648DAF15CB}">
  <dimension ref="A3:B112"/>
  <sheetViews>
    <sheetView topLeftCell="A94" workbookViewId="0">
      <selection activeCell="D103" sqref="D103"/>
    </sheetView>
  </sheetViews>
  <sheetFormatPr defaultRowHeight="14.4" x14ac:dyDescent="0.3"/>
  <cols>
    <col min="1" max="1" width="87.88671875" bestFit="1" customWidth="1"/>
    <col min="2" max="2" width="14.21875" bestFit="1" customWidth="1"/>
  </cols>
  <sheetData>
    <row r="3" spans="1:2" x14ac:dyDescent="0.3">
      <c r="A3" s="8" t="s">
        <v>121</v>
      </c>
      <c r="B3" t="s">
        <v>124</v>
      </c>
    </row>
    <row r="4" spans="1:2" x14ac:dyDescent="0.3">
      <c r="A4" s="10" t="s">
        <v>60</v>
      </c>
      <c r="B4" s="12">
        <v>2</v>
      </c>
    </row>
    <row r="5" spans="1:2" x14ac:dyDescent="0.3">
      <c r="A5" s="10" t="s">
        <v>58</v>
      </c>
      <c r="B5" s="12">
        <v>2</v>
      </c>
    </row>
    <row r="6" spans="1:2" x14ac:dyDescent="0.3">
      <c r="A6" s="10" t="s">
        <v>52</v>
      </c>
      <c r="B6" s="12">
        <v>2</v>
      </c>
    </row>
    <row r="7" spans="1:2" x14ac:dyDescent="0.3">
      <c r="A7" s="10" t="s">
        <v>29</v>
      </c>
      <c r="B7" s="7">
        <v>1</v>
      </c>
    </row>
    <row r="8" spans="1:2" x14ac:dyDescent="0.3">
      <c r="A8" s="10" t="s">
        <v>5</v>
      </c>
      <c r="B8" s="7">
        <v>1</v>
      </c>
    </row>
    <row r="9" spans="1:2" x14ac:dyDescent="0.3">
      <c r="A9" s="10" t="s">
        <v>56</v>
      </c>
      <c r="B9" s="7">
        <v>1</v>
      </c>
    </row>
    <row r="10" spans="1:2" x14ac:dyDescent="0.3">
      <c r="A10" s="10" t="s">
        <v>35</v>
      </c>
      <c r="B10" s="7">
        <v>1</v>
      </c>
    </row>
    <row r="11" spans="1:2" x14ac:dyDescent="0.3">
      <c r="A11" s="10" t="s">
        <v>30</v>
      </c>
      <c r="B11" s="7">
        <v>1</v>
      </c>
    </row>
    <row r="12" spans="1:2" x14ac:dyDescent="0.3">
      <c r="A12" s="10" t="s">
        <v>65</v>
      </c>
      <c r="B12" s="7">
        <v>1</v>
      </c>
    </row>
    <row r="13" spans="1:2" x14ac:dyDescent="0.3">
      <c r="A13" s="10" t="s">
        <v>23</v>
      </c>
      <c r="B13" s="7">
        <v>1</v>
      </c>
    </row>
    <row r="14" spans="1:2" x14ac:dyDescent="0.3">
      <c r="A14" s="10" t="s">
        <v>61</v>
      </c>
      <c r="B14" s="7">
        <v>1</v>
      </c>
    </row>
    <row r="15" spans="1:2" x14ac:dyDescent="0.3">
      <c r="A15" s="10" t="s">
        <v>7</v>
      </c>
      <c r="B15" s="7">
        <v>1</v>
      </c>
    </row>
    <row r="16" spans="1:2" x14ac:dyDescent="0.3">
      <c r="A16" s="10" t="s">
        <v>14</v>
      </c>
      <c r="B16" s="7">
        <v>1</v>
      </c>
    </row>
    <row r="17" spans="1:2" x14ac:dyDescent="0.3">
      <c r="A17" s="10" t="s">
        <v>32</v>
      </c>
      <c r="B17" s="7">
        <v>1</v>
      </c>
    </row>
    <row r="18" spans="1:2" x14ac:dyDescent="0.3">
      <c r="A18" s="10" t="s">
        <v>11</v>
      </c>
      <c r="B18" s="7">
        <v>1</v>
      </c>
    </row>
    <row r="19" spans="1:2" x14ac:dyDescent="0.3">
      <c r="A19" s="10" t="s">
        <v>85</v>
      </c>
      <c r="B19" s="7">
        <v>1</v>
      </c>
    </row>
    <row r="20" spans="1:2" x14ac:dyDescent="0.3">
      <c r="A20" s="10" t="s">
        <v>105</v>
      </c>
      <c r="B20" s="7">
        <v>1</v>
      </c>
    </row>
    <row r="21" spans="1:2" x14ac:dyDescent="0.3">
      <c r="A21" s="10" t="s">
        <v>43</v>
      </c>
      <c r="B21" s="7">
        <v>1</v>
      </c>
    </row>
    <row r="22" spans="1:2" x14ac:dyDescent="0.3">
      <c r="A22" s="10" t="s">
        <v>84</v>
      </c>
      <c r="B22" s="7">
        <v>1</v>
      </c>
    </row>
    <row r="23" spans="1:2" x14ac:dyDescent="0.3">
      <c r="A23" s="10" t="s">
        <v>45</v>
      </c>
      <c r="B23" s="7">
        <v>1</v>
      </c>
    </row>
    <row r="24" spans="1:2" x14ac:dyDescent="0.3">
      <c r="A24" s="10" t="s">
        <v>10</v>
      </c>
      <c r="B24" s="7">
        <v>1</v>
      </c>
    </row>
    <row r="25" spans="1:2" x14ac:dyDescent="0.3">
      <c r="A25" s="10" t="s">
        <v>21</v>
      </c>
      <c r="B25" s="7">
        <v>1</v>
      </c>
    </row>
    <row r="26" spans="1:2" x14ac:dyDescent="0.3">
      <c r="A26" s="10" t="s">
        <v>95</v>
      </c>
      <c r="B26" s="7">
        <v>1</v>
      </c>
    </row>
    <row r="27" spans="1:2" x14ac:dyDescent="0.3">
      <c r="A27" s="10" t="s">
        <v>41</v>
      </c>
      <c r="B27" s="7">
        <v>1</v>
      </c>
    </row>
    <row r="28" spans="1:2" x14ac:dyDescent="0.3">
      <c r="A28" s="10" t="s">
        <v>51</v>
      </c>
      <c r="B28" s="7">
        <v>1</v>
      </c>
    </row>
    <row r="29" spans="1:2" x14ac:dyDescent="0.3">
      <c r="A29" s="10" t="s">
        <v>96</v>
      </c>
      <c r="B29" s="7">
        <v>1</v>
      </c>
    </row>
    <row r="30" spans="1:2" x14ac:dyDescent="0.3">
      <c r="A30" s="10" t="s">
        <v>77</v>
      </c>
      <c r="B30" s="7">
        <v>1</v>
      </c>
    </row>
    <row r="31" spans="1:2" x14ac:dyDescent="0.3">
      <c r="A31" s="10" t="s">
        <v>39</v>
      </c>
      <c r="B31" s="7">
        <v>1</v>
      </c>
    </row>
    <row r="32" spans="1:2" x14ac:dyDescent="0.3">
      <c r="A32" s="10" t="s">
        <v>70</v>
      </c>
      <c r="B32" s="7">
        <v>1</v>
      </c>
    </row>
    <row r="33" spans="1:2" x14ac:dyDescent="0.3">
      <c r="A33" s="10" t="s">
        <v>28</v>
      </c>
      <c r="B33" s="7">
        <v>1</v>
      </c>
    </row>
    <row r="34" spans="1:2" x14ac:dyDescent="0.3">
      <c r="A34" s="10" t="s">
        <v>69</v>
      </c>
      <c r="B34" s="7">
        <v>1</v>
      </c>
    </row>
    <row r="35" spans="1:2" x14ac:dyDescent="0.3">
      <c r="A35" s="10" t="s">
        <v>102</v>
      </c>
      <c r="B35" s="7">
        <v>1</v>
      </c>
    </row>
    <row r="36" spans="1:2" x14ac:dyDescent="0.3">
      <c r="A36" s="10" t="s">
        <v>24</v>
      </c>
      <c r="B36" s="7">
        <v>1</v>
      </c>
    </row>
    <row r="37" spans="1:2" x14ac:dyDescent="0.3">
      <c r="A37" s="10" t="s">
        <v>18</v>
      </c>
      <c r="B37" s="7">
        <v>1</v>
      </c>
    </row>
    <row r="38" spans="1:2" x14ac:dyDescent="0.3">
      <c r="A38" s="10" t="s">
        <v>78</v>
      </c>
      <c r="B38" s="7">
        <v>1</v>
      </c>
    </row>
    <row r="39" spans="1:2" x14ac:dyDescent="0.3">
      <c r="A39" s="10" t="s">
        <v>27</v>
      </c>
      <c r="B39" s="7">
        <v>1</v>
      </c>
    </row>
    <row r="40" spans="1:2" x14ac:dyDescent="0.3">
      <c r="A40" s="10" t="s">
        <v>25</v>
      </c>
      <c r="B40" s="7">
        <v>1</v>
      </c>
    </row>
    <row r="41" spans="1:2" x14ac:dyDescent="0.3">
      <c r="A41" s="10" t="s">
        <v>6</v>
      </c>
      <c r="B41" s="7">
        <v>1</v>
      </c>
    </row>
    <row r="42" spans="1:2" x14ac:dyDescent="0.3">
      <c r="A42" s="10" t="s">
        <v>98</v>
      </c>
      <c r="B42" s="7">
        <v>1</v>
      </c>
    </row>
    <row r="43" spans="1:2" x14ac:dyDescent="0.3">
      <c r="A43" s="10" t="s">
        <v>90</v>
      </c>
      <c r="B43" s="7">
        <v>1</v>
      </c>
    </row>
    <row r="44" spans="1:2" x14ac:dyDescent="0.3">
      <c r="A44" s="10" t="s">
        <v>17</v>
      </c>
      <c r="B44" s="7">
        <v>1</v>
      </c>
    </row>
    <row r="45" spans="1:2" x14ac:dyDescent="0.3">
      <c r="A45" s="10" t="s">
        <v>86</v>
      </c>
      <c r="B45" s="7">
        <v>1</v>
      </c>
    </row>
    <row r="46" spans="1:2" x14ac:dyDescent="0.3">
      <c r="A46" s="10" t="s">
        <v>44</v>
      </c>
      <c r="B46" s="7">
        <v>1</v>
      </c>
    </row>
    <row r="47" spans="1:2" x14ac:dyDescent="0.3">
      <c r="A47" s="10" t="s">
        <v>55</v>
      </c>
      <c r="B47" s="7">
        <v>1</v>
      </c>
    </row>
    <row r="48" spans="1:2" x14ac:dyDescent="0.3">
      <c r="A48" s="10" t="s">
        <v>26</v>
      </c>
      <c r="B48" s="7">
        <v>1</v>
      </c>
    </row>
    <row r="49" spans="1:2" x14ac:dyDescent="0.3">
      <c r="A49" s="10" t="s">
        <v>31</v>
      </c>
      <c r="B49" s="7">
        <v>1</v>
      </c>
    </row>
    <row r="50" spans="1:2" x14ac:dyDescent="0.3">
      <c r="A50" s="10" t="s">
        <v>62</v>
      </c>
      <c r="B50" s="7">
        <v>1</v>
      </c>
    </row>
    <row r="51" spans="1:2" x14ac:dyDescent="0.3">
      <c r="A51" s="10" t="s">
        <v>47</v>
      </c>
      <c r="B51" s="7">
        <v>1</v>
      </c>
    </row>
    <row r="52" spans="1:2" x14ac:dyDescent="0.3">
      <c r="A52" s="10" t="s">
        <v>33</v>
      </c>
      <c r="B52" s="7">
        <v>1</v>
      </c>
    </row>
    <row r="53" spans="1:2" x14ac:dyDescent="0.3">
      <c r="A53" s="10" t="s">
        <v>67</v>
      </c>
      <c r="B53" s="7">
        <v>1</v>
      </c>
    </row>
    <row r="54" spans="1:2" x14ac:dyDescent="0.3">
      <c r="A54" s="10" t="s">
        <v>38</v>
      </c>
      <c r="B54" s="7">
        <v>1</v>
      </c>
    </row>
    <row r="55" spans="1:2" x14ac:dyDescent="0.3">
      <c r="A55" s="10" t="s">
        <v>89</v>
      </c>
      <c r="B55" s="7">
        <v>1</v>
      </c>
    </row>
    <row r="56" spans="1:2" x14ac:dyDescent="0.3">
      <c r="A56" s="10" t="s">
        <v>37</v>
      </c>
      <c r="B56" s="7">
        <v>1</v>
      </c>
    </row>
    <row r="57" spans="1:2" x14ac:dyDescent="0.3">
      <c r="A57" s="10" t="s">
        <v>12</v>
      </c>
      <c r="B57" s="13">
        <v>1</v>
      </c>
    </row>
    <row r="58" spans="1:2" x14ac:dyDescent="0.3">
      <c r="A58" s="10" t="s">
        <v>83</v>
      </c>
      <c r="B58" s="7">
        <v>1</v>
      </c>
    </row>
    <row r="59" spans="1:2" x14ac:dyDescent="0.3">
      <c r="A59" s="10" t="s">
        <v>76</v>
      </c>
      <c r="B59" s="7">
        <v>1</v>
      </c>
    </row>
    <row r="60" spans="1:2" x14ac:dyDescent="0.3">
      <c r="A60" s="10" t="s">
        <v>64</v>
      </c>
      <c r="B60" s="7">
        <v>1</v>
      </c>
    </row>
    <row r="61" spans="1:2" x14ac:dyDescent="0.3">
      <c r="A61" s="10" t="s">
        <v>34</v>
      </c>
      <c r="B61" s="7">
        <v>1</v>
      </c>
    </row>
    <row r="62" spans="1:2" x14ac:dyDescent="0.3">
      <c r="A62" s="10" t="s">
        <v>110</v>
      </c>
      <c r="B62" s="7">
        <v>1</v>
      </c>
    </row>
    <row r="63" spans="1:2" x14ac:dyDescent="0.3">
      <c r="A63" s="10" t="s">
        <v>15</v>
      </c>
      <c r="B63" s="7">
        <v>1</v>
      </c>
    </row>
    <row r="64" spans="1:2" x14ac:dyDescent="0.3">
      <c r="A64" s="10" t="s">
        <v>94</v>
      </c>
      <c r="B64" s="12">
        <v>1</v>
      </c>
    </row>
    <row r="65" spans="1:2" x14ac:dyDescent="0.3">
      <c r="A65" s="10" t="s">
        <v>66</v>
      </c>
      <c r="B65" s="7">
        <v>1</v>
      </c>
    </row>
    <row r="66" spans="1:2" x14ac:dyDescent="0.3">
      <c r="A66" s="10" t="s">
        <v>49</v>
      </c>
      <c r="B66" s="7">
        <v>1</v>
      </c>
    </row>
    <row r="67" spans="1:2" x14ac:dyDescent="0.3">
      <c r="A67" s="10" t="s">
        <v>72</v>
      </c>
      <c r="B67" s="7">
        <v>1</v>
      </c>
    </row>
    <row r="68" spans="1:2" x14ac:dyDescent="0.3">
      <c r="A68" s="10" t="s">
        <v>80</v>
      </c>
      <c r="B68" s="7">
        <v>1</v>
      </c>
    </row>
    <row r="69" spans="1:2" x14ac:dyDescent="0.3">
      <c r="A69" s="10" t="s">
        <v>22</v>
      </c>
      <c r="B69" s="7">
        <v>1</v>
      </c>
    </row>
    <row r="70" spans="1:2" x14ac:dyDescent="0.3">
      <c r="A70" s="10" t="s">
        <v>75</v>
      </c>
      <c r="B70" s="7">
        <v>1</v>
      </c>
    </row>
    <row r="71" spans="1:2" x14ac:dyDescent="0.3">
      <c r="A71" s="10" t="s">
        <v>13</v>
      </c>
      <c r="B71" s="7">
        <v>1</v>
      </c>
    </row>
    <row r="72" spans="1:2" x14ac:dyDescent="0.3">
      <c r="A72" s="10" t="s">
        <v>101</v>
      </c>
      <c r="B72" s="7">
        <v>1</v>
      </c>
    </row>
    <row r="73" spans="1:2" x14ac:dyDescent="0.3">
      <c r="A73" s="10" t="s">
        <v>36</v>
      </c>
      <c r="B73" s="7">
        <v>1</v>
      </c>
    </row>
    <row r="74" spans="1:2" x14ac:dyDescent="0.3">
      <c r="A74" s="10" t="s">
        <v>103</v>
      </c>
      <c r="B74" s="7">
        <v>1</v>
      </c>
    </row>
    <row r="75" spans="1:2" x14ac:dyDescent="0.3">
      <c r="A75" s="10" t="s">
        <v>106</v>
      </c>
      <c r="B75" s="7">
        <v>1</v>
      </c>
    </row>
    <row r="76" spans="1:2" x14ac:dyDescent="0.3">
      <c r="A76" s="10" t="s">
        <v>71</v>
      </c>
      <c r="B76" s="7">
        <v>1</v>
      </c>
    </row>
    <row r="77" spans="1:2" x14ac:dyDescent="0.3">
      <c r="A77" s="10" t="s">
        <v>81</v>
      </c>
      <c r="B77" s="7">
        <v>1</v>
      </c>
    </row>
    <row r="78" spans="1:2" x14ac:dyDescent="0.3">
      <c r="A78" s="10" t="s">
        <v>16</v>
      </c>
      <c r="B78" s="7">
        <v>1</v>
      </c>
    </row>
    <row r="79" spans="1:2" x14ac:dyDescent="0.3">
      <c r="A79" s="10" t="s">
        <v>99</v>
      </c>
      <c r="B79" s="7">
        <v>1</v>
      </c>
    </row>
    <row r="80" spans="1:2" x14ac:dyDescent="0.3">
      <c r="A80" s="10" t="s">
        <v>20</v>
      </c>
      <c r="B80" s="7">
        <v>1</v>
      </c>
    </row>
    <row r="81" spans="1:2" x14ac:dyDescent="0.3">
      <c r="A81" s="10" t="s">
        <v>19</v>
      </c>
      <c r="B81" s="7">
        <v>1</v>
      </c>
    </row>
    <row r="82" spans="1:2" x14ac:dyDescent="0.3">
      <c r="A82" s="10" t="s">
        <v>68</v>
      </c>
      <c r="B82" s="7">
        <v>1</v>
      </c>
    </row>
    <row r="83" spans="1:2" x14ac:dyDescent="0.3">
      <c r="A83" s="10" t="s">
        <v>114</v>
      </c>
      <c r="B83" s="7">
        <v>1</v>
      </c>
    </row>
    <row r="84" spans="1:2" x14ac:dyDescent="0.3">
      <c r="A84" s="10" t="s">
        <v>100</v>
      </c>
      <c r="B84" s="7">
        <v>1</v>
      </c>
    </row>
    <row r="85" spans="1:2" x14ac:dyDescent="0.3">
      <c r="A85" s="10" t="s">
        <v>63</v>
      </c>
      <c r="B85" s="7">
        <v>1</v>
      </c>
    </row>
    <row r="86" spans="1:2" x14ac:dyDescent="0.3">
      <c r="A86" s="10" t="s">
        <v>46</v>
      </c>
      <c r="B86" s="12">
        <v>1</v>
      </c>
    </row>
    <row r="87" spans="1:2" x14ac:dyDescent="0.3">
      <c r="A87" s="10" t="s">
        <v>88</v>
      </c>
      <c r="B87" s="7">
        <v>1</v>
      </c>
    </row>
    <row r="88" spans="1:2" x14ac:dyDescent="0.3">
      <c r="A88" s="10" t="s">
        <v>82</v>
      </c>
      <c r="B88" s="7">
        <v>1</v>
      </c>
    </row>
    <row r="89" spans="1:2" x14ac:dyDescent="0.3">
      <c r="A89" s="10" t="s">
        <v>54</v>
      </c>
      <c r="B89" s="7">
        <v>1</v>
      </c>
    </row>
    <row r="90" spans="1:2" x14ac:dyDescent="0.3">
      <c r="A90" s="10" t="s">
        <v>112</v>
      </c>
      <c r="B90" s="7">
        <v>1</v>
      </c>
    </row>
    <row r="91" spans="1:2" x14ac:dyDescent="0.3">
      <c r="A91" s="10" t="s">
        <v>9</v>
      </c>
      <c r="B91" s="7">
        <v>1</v>
      </c>
    </row>
    <row r="92" spans="1:2" x14ac:dyDescent="0.3">
      <c r="A92" s="10" t="s">
        <v>53</v>
      </c>
      <c r="B92" s="7">
        <v>1</v>
      </c>
    </row>
    <row r="93" spans="1:2" x14ac:dyDescent="0.3">
      <c r="A93" s="10" t="s">
        <v>97</v>
      </c>
      <c r="B93" s="7">
        <v>1</v>
      </c>
    </row>
    <row r="94" spans="1:2" x14ac:dyDescent="0.3">
      <c r="A94" s="10" t="s">
        <v>50</v>
      </c>
      <c r="B94" s="7">
        <v>1</v>
      </c>
    </row>
    <row r="95" spans="1:2" x14ac:dyDescent="0.3">
      <c r="A95" s="10" t="s">
        <v>92</v>
      </c>
      <c r="B95" s="7">
        <v>1</v>
      </c>
    </row>
    <row r="96" spans="1:2" x14ac:dyDescent="0.3">
      <c r="A96" s="10" t="s">
        <v>87</v>
      </c>
      <c r="B96" s="7">
        <v>1</v>
      </c>
    </row>
    <row r="97" spans="1:2" x14ac:dyDescent="0.3">
      <c r="A97" s="10" t="s">
        <v>93</v>
      </c>
      <c r="B97" s="7">
        <v>1</v>
      </c>
    </row>
    <row r="98" spans="1:2" x14ac:dyDescent="0.3">
      <c r="A98" s="10" t="s">
        <v>107</v>
      </c>
      <c r="B98" s="7">
        <v>1</v>
      </c>
    </row>
    <row r="99" spans="1:2" x14ac:dyDescent="0.3">
      <c r="A99" s="10" t="s">
        <v>108</v>
      </c>
      <c r="B99" s="7">
        <v>1</v>
      </c>
    </row>
    <row r="100" spans="1:2" x14ac:dyDescent="0.3">
      <c r="A100" s="10" t="s">
        <v>48</v>
      </c>
      <c r="B100" s="7">
        <v>1</v>
      </c>
    </row>
    <row r="101" spans="1:2" x14ac:dyDescent="0.3">
      <c r="A101" s="10" t="s">
        <v>109</v>
      </c>
      <c r="B101" s="7">
        <v>1</v>
      </c>
    </row>
    <row r="102" spans="1:2" x14ac:dyDescent="0.3">
      <c r="A102" s="10" t="s">
        <v>59</v>
      </c>
      <c r="B102" s="7">
        <v>1</v>
      </c>
    </row>
    <row r="103" spans="1:2" x14ac:dyDescent="0.3">
      <c r="A103" s="10" t="s">
        <v>91</v>
      </c>
      <c r="B103" s="7">
        <v>1</v>
      </c>
    </row>
    <row r="104" spans="1:2" x14ac:dyDescent="0.3">
      <c r="A104" s="10" t="s">
        <v>40</v>
      </c>
      <c r="B104" s="7">
        <v>1</v>
      </c>
    </row>
    <row r="105" spans="1:2" x14ac:dyDescent="0.3">
      <c r="A105" s="10" t="s">
        <v>111</v>
      </c>
      <c r="B105" s="7">
        <v>1</v>
      </c>
    </row>
    <row r="106" spans="1:2" x14ac:dyDescent="0.3">
      <c r="A106" s="10" t="s">
        <v>8</v>
      </c>
      <c r="B106" s="13">
        <v>1</v>
      </c>
    </row>
    <row r="107" spans="1:2" x14ac:dyDescent="0.3">
      <c r="A107" s="10" t="s">
        <v>73</v>
      </c>
      <c r="B107" s="7">
        <v>1</v>
      </c>
    </row>
    <row r="108" spans="1:2" x14ac:dyDescent="0.3">
      <c r="A108" s="10" t="s">
        <v>74</v>
      </c>
      <c r="B108" s="7">
        <v>1</v>
      </c>
    </row>
    <row r="109" spans="1:2" x14ac:dyDescent="0.3">
      <c r="A109" s="10" t="s">
        <v>57</v>
      </c>
      <c r="B109" s="13">
        <v>1</v>
      </c>
    </row>
    <row r="110" spans="1:2" x14ac:dyDescent="0.3">
      <c r="A110" s="10" t="s">
        <v>42</v>
      </c>
      <c r="B110" s="13">
        <v>1</v>
      </c>
    </row>
    <row r="111" spans="1:2" x14ac:dyDescent="0.3">
      <c r="A111" s="10" t="s">
        <v>79</v>
      </c>
      <c r="B111" s="13">
        <v>1</v>
      </c>
    </row>
    <row r="112" spans="1:2" x14ac:dyDescent="0.3">
      <c r="A112" s="10" t="s">
        <v>122</v>
      </c>
      <c r="B112" s="7">
        <v>111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6EA82-01A3-4F4C-AAD8-FFB2EA92CE54}">
  <dimension ref="A1:B5"/>
  <sheetViews>
    <sheetView workbookViewId="0">
      <selection activeCell="L28" sqref="L28"/>
    </sheetView>
  </sheetViews>
  <sheetFormatPr defaultRowHeight="14.4" x14ac:dyDescent="0.3"/>
  <cols>
    <col min="1" max="1" width="15.77734375" bestFit="1" customWidth="1"/>
    <col min="2" max="2" width="16.5546875" bestFit="1" customWidth="1"/>
  </cols>
  <sheetData>
    <row r="1" spans="1:2" x14ac:dyDescent="0.3">
      <c r="A1" s="8" t="s">
        <v>118</v>
      </c>
      <c r="B1" t="s">
        <v>143</v>
      </c>
    </row>
    <row r="3" spans="1:2" x14ac:dyDescent="0.3">
      <c r="A3" s="8" t="s">
        <v>129</v>
      </c>
    </row>
    <row r="4" spans="1:2" x14ac:dyDescent="0.3">
      <c r="A4" s="10" t="s">
        <v>128</v>
      </c>
      <c r="B4" s="7">
        <v>3.8</v>
      </c>
    </row>
    <row r="5" spans="1:2" x14ac:dyDescent="0.3">
      <c r="A5" s="10" t="s">
        <v>120</v>
      </c>
      <c r="B5" s="7">
        <v>50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50A5C-F774-4965-B6BD-82C164B19984}">
  <dimension ref="A3:B9"/>
  <sheetViews>
    <sheetView workbookViewId="0">
      <selection activeCell="E16" sqref="E16"/>
    </sheetView>
  </sheetViews>
  <sheetFormatPr defaultRowHeight="14.4" x14ac:dyDescent="0.3"/>
  <cols>
    <col min="1" max="1" width="72.44140625" bestFit="1" customWidth="1"/>
    <col min="2" max="2" width="14.88671875" bestFit="1" customWidth="1"/>
  </cols>
  <sheetData>
    <row r="3" spans="1:2" x14ac:dyDescent="0.3">
      <c r="A3" s="8" t="s">
        <v>121</v>
      </c>
      <c r="B3" t="s">
        <v>119</v>
      </c>
    </row>
    <row r="4" spans="1:2" x14ac:dyDescent="0.3">
      <c r="A4" s="10" t="s">
        <v>23</v>
      </c>
      <c r="B4" s="1">
        <v>0.19</v>
      </c>
    </row>
    <row r="5" spans="1:2" x14ac:dyDescent="0.3">
      <c r="A5" s="10" t="s">
        <v>89</v>
      </c>
      <c r="B5" s="1">
        <v>0.14000000000000001</v>
      </c>
    </row>
    <row r="6" spans="1:2" x14ac:dyDescent="0.3">
      <c r="A6" s="10" t="s">
        <v>86</v>
      </c>
      <c r="B6" s="1">
        <v>0.14000000000000001</v>
      </c>
    </row>
    <row r="7" spans="1:2" x14ac:dyDescent="0.3">
      <c r="A7" s="10" t="s">
        <v>88</v>
      </c>
      <c r="B7" s="1">
        <v>0.11</v>
      </c>
    </row>
    <row r="8" spans="1:2" x14ac:dyDescent="0.3">
      <c r="A8" s="10" t="s">
        <v>96</v>
      </c>
      <c r="B8" s="1">
        <v>0.08</v>
      </c>
    </row>
    <row r="9" spans="1:2" x14ac:dyDescent="0.3">
      <c r="A9" s="10" t="s">
        <v>122</v>
      </c>
      <c r="B9" s="1">
        <v>0.66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AA8E7-4AB7-4065-A947-CE4A7DB40DD9}">
  <dimension ref="A3:B19"/>
  <sheetViews>
    <sheetView workbookViewId="0">
      <selection activeCell="D8" sqref="D8"/>
    </sheetView>
  </sheetViews>
  <sheetFormatPr defaultRowHeight="14.4" x14ac:dyDescent="0.3"/>
  <cols>
    <col min="1" max="1" width="72.44140625" bestFit="1" customWidth="1"/>
    <col min="2" max="2" width="16" bestFit="1" customWidth="1"/>
  </cols>
  <sheetData>
    <row r="3" spans="1:2" x14ac:dyDescent="0.3">
      <c r="A3" s="8" t="s">
        <v>121</v>
      </c>
      <c r="B3" t="s">
        <v>128</v>
      </c>
    </row>
    <row r="4" spans="1:2" x14ac:dyDescent="0.3">
      <c r="A4" s="10" t="s">
        <v>23</v>
      </c>
      <c r="B4" s="7">
        <v>4.5999999999999996</v>
      </c>
    </row>
    <row r="5" spans="1:2" x14ac:dyDescent="0.3">
      <c r="A5" s="10" t="s">
        <v>104</v>
      </c>
      <c r="B5" s="7" t="e">
        <v>#DIV/0!</v>
      </c>
    </row>
    <row r="6" spans="1:2" x14ac:dyDescent="0.3">
      <c r="A6" s="10" t="s">
        <v>96</v>
      </c>
      <c r="B6" s="7" t="e">
        <v>#DIV/0!</v>
      </c>
    </row>
    <row r="7" spans="1:2" x14ac:dyDescent="0.3">
      <c r="A7" s="10" t="s">
        <v>108</v>
      </c>
      <c r="B7" s="7" t="e">
        <v>#DIV/0!</v>
      </c>
    </row>
    <row r="8" spans="1:2" x14ac:dyDescent="0.3">
      <c r="A8" s="10" t="s">
        <v>79</v>
      </c>
      <c r="B8" s="7" t="e">
        <v>#DIV/0!</v>
      </c>
    </row>
    <row r="9" spans="1:2" x14ac:dyDescent="0.3">
      <c r="A9" s="10" t="s">
        <v>84</v>
      </c>
      <c r="B9" s="7" t="e">
        <v>#DIV/0!</v>
      </c>
    </row>
    <row r="10" spans="1:2" x14ac:dyDescent="0.3">
      <c r="A10" s="10" t="s">
        <v>54</v>
      </c>
      <c r="B10" s="7" t="e">
        <v>#DIV/0!</v>
      </c>
    </row>
    <row r="11" spans="1:2" x14ac:dyDescent="0.3">
      <c r="A11" s="10" t="s">
        <v>97</v>
      </c>
      <c r="B11" s="7" t="e">
        <v>#DIV/0!</v>
      </c>
    </row>
    <row r="12" spans="1:2" x14ac:dyDescent="0.3">
      <c r="A12" s="10" t="s">
        <v>47</v>
      </c>
      <c r="B12" s="7" t="e">
        <v>#DIV/0!</v>
      </c>
    </row>
    <row r="13" spans="1:2" x14ac:dyDescent="0.3">
      <c r="A13" s="10" t="s">
        <v>99</v>
      </c>
      <c r="B13" s="7" t="e">
        <v>#DIV/0!</v>
      </c>
    </row>
    <row r="14" spans="1:2" x14ac:dyDescent="0.3">
      <c r="A14" s="10" t="s">
        <v>109</v>
      </c>
      <c r="B14" s="7" t="e">
        <v>#DIV/0!</v>
      </c>
    </row>
    <row r="15" spans="1:2" x14ac:dyDescent="0.3">
      <c r="A15" s="10" t="s">
        <v>56</v>
      </c>
      <c r="B15" s="7" t="e">
        <v>#DIV/0!</v>
      </c>
    </row>
    <row r="16" spans="1:2" x14ac:dyDescent="0.3">
      <c r="A16" s="10" t="s">
        <v>89</v>
      </c>
      <c r="B16" s="7" t="e">
        <v>#DIV/0!</v>
      </c>
    </row>
    <row r="17" spans="1:2" x14ac:dyDescent="0.3">
      <c r="A17" s="10" t="s">
        <v>86</v>
      </c>
      <c r="B17" s="7" t="e">
        <v>#DIV/0!</v>
      </c>
    </row>
    <row r="18" spans="1:2" x14ac:dyDescent="0.3">
      <c r="A18" s="10" t="s">
        <v>88</v>
      </c>
      <c r="B18" s="7" t="e">
        <v>#DIV/0!</v>
      </c>
    </row>
    <row r="19" spans="1:2" x14ac:dyDescent="0.3">
      <c r="A19" s="10" t="s">
        <v>122</v>
      </c>
      <c r="B19" s="7">
        <v>4.5999999999999996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0F602-B142-4104-8365-A59C51AEBBD4}">
  <dimension ref="A3:B19"/>
  <sheetViews>
    <sheetView workbookViewId="0">
      <selection activeCell="C22" sqref="C22"/>
    </sheetView>
  </sheetViews>
  <sheetFormatPr defaultRowHeight="14.4" x14ac:dyDescent="0.3"/>
  <cols>
    <col min="1" max="1" width="72.44140625" bestFit="1" customWidth="1"/>
    <col min="2" max="2" width="13.5546875" bestFit="1" customWidth="1"/>
  </cols>
  <sheetData>
    <row r="3" spans="1:2" x14ac:dyDescent="0.3">
      <c r="A3" s="8" t="s">
        <v>121</v>
      </c>
      <c r="B3" t="s">
        <v>120</v>
      </c>
    </row>
    <row r="4" spans="1:2" x14ac:dyDescent="0.3">
      <c r="A4" s="10" t="s">
        <v>84</v>
      </c>
      <c r="B4" s="7">
        <v>0</v>
      </c>
    </row>
    <row r="5" spans="1:2" x14ac:dyDescent="0.3">
      <c r="A5" s="10" t="s">
        <v>104</v>
      </c>
      <c r="B5" s="7">
        <v>0</v>
      </c>
    </row>
    <row r="6" spans="1:2" x14ac:dyDescent="0.3">
      <c r="A6" s="10" t="s">
        <v>79</v>
      </c>
      <c r="B6" s="7">
        <v>0</v>
      </c>
    </row>
    <row r="7" spans="1:2" x14ac:dyDescent="0.3">
      <c r="A7" s="10" t="s">
        <v>23</v>
      </c>
      <c r="B7" s="7">
        <v>5</v>
      </c>
    </row>
    <row r="8" spans="1:2" x14ac:dyDescent="0.3">
      <c r="A8" s="10" t="s">
        <v>99</v>
      </c>
      <c r="B8" s="7">
        <v>0</v>
      </c>
    </row>
    <row r="9" spans="1:2" x14ac:dyDescent="0.3">
      <c r="A9" s="10" t="s">
        <v>56</v>
      </c>
      <c r="B9" s="7">
        <v>0</v>
      </c>
    </row>
    <row r="10" spans="1:2" x14ac:dyDescent="0.3">
      <c r="A10" s="10" t="s">
        <v>86</v>
      </c>
      <c r="B10" s="7">
        <v>0</v>
      </c>
    </row>
    <row r="11" spans="1:2" x14ac:dyDescent="0.3">
      <c r="A11" s="10" t="s">
        <v>88</v>
      </c>
      <c r="B11" s="7">
        <v>0</v>
      </c>
    </row>
    <row r="12" spans="1:2" x14ac:dyDescent="0.3">
      <c r="A12" s="10" t="s">
        <v>54</v>
      </c>
      <c r="B12" s="7">
        <v>0</v>
      </c>
    </row>
    <row r="13" spans="1:2" x14ac:dyDescent="0.3">
      <c r="A13" s="10" t="s">
        <v>97</v>
      </c>
      <c r="B13" s="7">
        <v>0</v>
      </c>
    </row>
    <row r="14" spans="1:2" x14ac:dyDescent="0.3">
      <c r="A14" s="10" t="s">
        <v>47</v>
      </c>
      <c r="B14" s="7">
        <v>0</v>
      </c>
    </row>
    <row r="15" spans="1:2" x14ac:dyDescent="0.3">
      <c r="A15" s="10" t="s">
        <v>108</v>
      </c>
      <c r="B15" s="7">
        <v>0</v>
      </c>
    </row>
    <row r="16" spans="1:2" x14ac:dyDescent="0.3">
      <c r="A16" s="10" t="s">
        <v>109</v>
      </c>
      <c r="B16" s="7">
        <v>0</v>
      </c>
    </row>
    <row r="17" spans="1:2" x14ac:dyDescent="0.3">
      <c r="A17" s="10" t="s">
        <v>96</v>
      </c>
      <c r="B17" s="7">
        <v>0</v>
      </c>
    </row>
    <row r="18" spans="1:2" x14ac:dyDescent="0.3">
      <c r="A18" s="10" t="s">
        <v>89</v>
      </c>
      <c r="B18" s="7">
        <v>0</v>
      </c>
    </row>
    <row r="19" spans="1:2" x14ac:dyDescent="0.3">
      <c r="A19" s="10" t="s">
        <v>122</v>
      </c>
      <c r="B19" s="7">
        <v>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F9939-9EEC-42C3-B475-FCAE80D76E8A}">
  <dimension ref="A1:B5"/>
  <sheetViews>
    <sheetView workbookViewId="0">
      <selection activeCell="L12" sqref="L12"/>
    </sheetView>
  </sheetViews>
  <sheetFormatPr defaultRowHeight="14.4" x14ac:dyDescent="0.3"/>
  <cols>
    <col min="1" max="1" width="14.33203125" bestFit="1" customWidth="1"/>
    <col min="2" max="3" width="15.5546875" bestFit="1" customWidth="1"/>
  </cols>
  <sheetData>
    <row r="1" spans="1:2" x14ac:dyDescent="0.3">
      <c r="A1" s="8" t="s">
        <v>113</v>
      </c>
      <c r="B1" t="s">
        <v>123</v>
      </c>
    </row>
    <row r="3" spans="1:2" x14ac:dyDescent="0.3">
      <c r="A3" s="8" t="s">
        <v>121</v>
      </c>
      <c r="B3" t="s">
        <v>144</v>
      </c>
    </row>
    <row r="4" spans="1:2" x14ac:dyDescent="0.3">
      <c r="A4" s="10" t="s">
        <v>143</v>
      </c>
      <c r="B4" s="7">
        <v>15</v>
      </c>
    </row>
    <row r="5" spans="1:2" x14ac:dyDescent="0.3">
      <c r="A5" s="10" t="s">
        <v>122</v>
      </c>
      <c r="B5" s="7">
        <v>15</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A866E-C076-4412-8043-6A745A3A66FD}">
  <dimension ref="A3:A5"/>
  <sheetViews>
    <sheetView workbookViewId="0">
      <selection activeCell="A3" sqref="A3"/>
    </sheetView>
  </sheetViews>
  <sheetFormatPr defaultRowHeight="14.4" x14ac:dyDescent="0.3"/>
  <cols>
    <col min="1" max="1" width="12.5546875" bestFit="1" customWidth="1"/>
  </cols>
  <sheetData>
    <row r="3" spans="1:1" x14ac:dyDescent="0.3">
      <c r="A3" s="8" t="s">
        <v>121</v>
      </c>
    </row>
    <row r="4" spans="1:1" x14ac:dyDescent="0.3">
      <c r="A4" s="10" t="s">
        <v>145</v>
      </c>
    </row>
    <row r="5" spans="1:1" x14ac:dyDescent="0.3">
      <c r="A5" s="10" t="s">
        <v>122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F9D5D-D9E3-4887-A1BB-78773FDCA2F4}">
  <dimension ref="A1:I113"/>
  <sheetViews>
    <sheetView tabSelected="1" workbookViewId="0">
      <pane ySplit="1" topLeftCell="A88" activePane="bottomLeft" state="frozen"/>
      <selection pane="bottomLeft" activeCell="A106" sqref="A106"/>
    </sheetView>
  </sheetViews>
  <sheetFormatPr defaultRowHeight="14.4" x14ac:dyDescent="0.3"/>
  <cols>
    <col min="1" max="1" width="87.88671875" bestFit="1" customWidth="1"/>
    <col min="2" max="3" width="18.33203125" style="4" bestFit="1" customWidth="1"/>
    <col min="4" max="4" width="8.109375" bestFit="1" customWidth="1"/>
    <col min="5" max="5" width="6.88671875" bestFit="1" customWidth="1"/>
    <col min="6" max="6" width="10.44140625" customWidth="1"/>
    <col min="7" max="7" width="19.33203125" style="6" customWidth="1"/>
    <col min="8" max="8" width="15.33203125" customWidth="1"/>
    <col min="9" max="9" width="16.77734375" customWidth="1"/>
    <col min="10" max="10" width="17.77734375" customWidth="1"/>
  </cols>
  <sheetData>
    <row r="1" spans="1:9" s="2" customFormat="1" x14ac:dyDescent="0.3">
      <c r="A1" s="2" t="s">
        <v>0</v>
      </c>
      <c r="B1" s="3" t="s">
        <v>1</v>
      </c>
      <c r="C1" s="3" t="s">
        <v>2</v>
      </c>
      <c r="D1" s="2" t="s">
        <v>3</v>
      </c>
      <c r="E1" s="2" t="s">
        <v>4</v>
      </c>
      <c r="F1" s="2" t="s">
        <v>113</v>
      </c>
      <c r="G1" s="5" t="s">
        <v>116</v>
      </c>
      <c r="H1" s="2" t="s">
        <v>117</v>
      </c>
      <c r="I1" s="2" t="s">
        <v>118</v>
      </c>
    </row>
    <row r="2" spans="1:9" x14ac:dyDescent="0.3">
      <c r="A2" t="s">
        <v>110</v>
      </c>
      <c r="B2" s="4">
        <v>199</v>
      </c>
      <c r="C2" s="4">
        <v>553</v>
      </c>
      <c r="D2" s="1">
        <v>0.64</v>
      </c>
      <c r="E2">
        <v>0</v>
      </c>
      <c r="F2" t="s">
        <v>115</v>
      </c>
      <c r="G2" s="6">
        <f>C2-B2</f>
        <v>354</v>
      </c>
      <c r="H2" t="str">
        <f>IF(F2="N/A","N/A",IF(F2&lt;3,"poor", IF(F2&lt;=4.4,"average","excellent")))</f>
        <v>N/A</v>
      </c>
      <c r="I2" t="str">
        <f>IF(D2&lt;=20%,"LOW DISCOUNT",IF(D2&lt;=40%,"MEDIUM DISCOUNT","HIGH DISCOUNT"))</f>
        <v>HIGH DISCOUNT</v>
      </c>
    </row>
    <row r="3" spans="1:9" x14ac:dyDescent="0.3">
      <c r="A3" t="s">
        <v>52</v>
      </c>
      <c r="B3" s="4">
        <v>199</v>
      </c>
      <c r="C3" s="4">
        <v>504</v>
      </c>
      <c r="D3" s="1">
        <v>0.61</v>
      </c>
      <c r="E3">
        <v>0</v>
      </c>
      <c r="F3" t="s">
        <v>115</v>
      </c>
      <c r="G3" s="6">
        <f>C3-B3</f>
        <v>305</v>
      </c>
      <c r="H3" t="str">
        <f t="shared" ref="H3:H66" si="0">IF(F3="N/A","N/A",IF(F3&lt;3,"poor", IF(F3&lt;=4.4,"average","excellent")))</f>
        <v>N/A</v>
      </c>
      <c r="I3" t="str">
        <f>IF(D3&lt;=20%,"LOW DISCOUNT",IF(D3&lt;=40%,"MEDIUM DISCOUNT","HIGH DISCOUNT"))</f>
        <v>HIGH DISCOUNT</v>
      </c>
    </row>
    <row r="4" spans="1:9" x14ac:dyDescent="0.3">
      <c r="A4" t="s">
        <v>64</v>
      </c>
      <c r="B4" s="4">
        <v>2115</v>
      </c>
      <c r="C4" s="4">
        <v>4700</v>
      </c>
      <c r="D4" s="1">
        <v>0.55000000000000004</v>
      </c>
      <c r="E4">
        <v>13</v>
      </c>
      <c r="F4">
        <v>2.1</v>
      </c>
      <c r="G4" s="6">
        <f>C4-B4</f>
        <v>2585</v>
      </c>
      <c r="H4" t="str">
        <f t="shared" si="0"/>
        <v>poor</v>
      </c>
      <c r="I4" t="str">
        <f>IF(D4&lt;=20%,"LOW DISCOUNT",IF(D4&lt;=40%,"MEDIUM DISCOUNT","HIGH DISCOUNT"))</f>
        <v>HIGH DISCOUNT</v>
      </c>
    </row>
    <row r="5" spans="1:9" x14ac:dyDescent="0.3">
      <c r="A5" t="s">
        <v>13</v>
      </c>
      <c r="B5" s="4">
        <v>1274</v>
      </c>
      <c r="C5" s="4">
        <v>2800</v>
      </c>
      <c r="D5" s="1">
        <v>0.55000000000000004</v>
      </c>
      <c r="E5">
        <v>5</v>
      </c>
      <c r="F5">
        <v>4.8</v>
      </c>
      <c r="G5" s="6">
        <f>C5-B5</f>
        <v>1526</v>
      </c>
      <c r="H5" t="str">
        <f t="shared" si="0"/>
        <v>excellent</v>
      </c>
      <c r="I5" t="str">
        <f>IF(D5&lt;=20%,"LOW DISCOUNT",IF(D5&lt;=40%,"MEDIUM DISCOUNT","HIGH DISCOUNT"))</f>
        <v>HIGH DISCOUNT</v>
      </c>
    </row>
    <row r="6" spans="1:9" x14ac:dyDescent="0.3">
      <c r="A6" t="s">
        <v>58</v>
      </c>
      <c r="B6" s="4">
        <v>399</v>
      </c>
      <c r="C6" s="4">
        <v>896</v>
      </c>
      <c r="D6" s="1">
        <v>0.55000000000000004</v>
      </c>
      <c r="E6">
        <v>0</v>
      </c>
      <c r="F6" t="s">
        <v>115</v>
      </c>
      <c r="G6" s="6">
        <f>C6-B6</f>
        <v>497</v>
      </c>
      <c r="H6" t="str">
        <f t="shared" si="0"/>
        <v>N/A</v>
      </c>
      <c r="I6" t="str">
        <f>IF(D6&lt;=20%,"LOW DISCOUNT",IF(D6&lt;=40%,"MEDIUM DISCOUNT","HIGH DISCOUNT"))</f>
        <v>HIGH DISCOUNT</v>
      </c>
    </row>
    <row r="7" spans="1:9" x14ac:dyDescent="0.3">
      <c r="A7" t="s">
        <v>63</v>
      </c>
      <c r="B7" s="4">
        <v>458</v>
      </c>
      <c r="C7" s="4">
        <v>986</v>
      </c>
      <c r="D7" s="1">
        <v>0.54</v>
      </c>
      <c r="E7">
        <v>10</v>
      </c>
      <c r="F7">
        <v>3</v>
      </c>
      <c r="G7" s="6">
        <f>C7-B7</f>
        <v>528</v>
      </c>
      <c r="H7" t="str">
        <f t="shared" si="0"/>
        <v>average</v>
      </c>
      <c r="I7" t="str">
        <f>IF(D7&lt;=20%,"LOW DISCOUNT",IF(D7&lt;=40%,"MEDIUM DISCOUNT","HIGH DISCOUNT"))</f>
        <v>HIGH DISCOUNT</v>
      </c>
    </row>
    <row r="8" spans="1:9" x14ac:dyDescent="0.3">
      <c r="A8" t="s">
        <v>29</v>
      </c>
      <c r="B8" s="4">
        <v>2048</v>
      </c>
      <c r="C8" s="4">
        <v>4500</v>
      </c>
      <c r="D8" s="1">
        <v>0.54</v>
      </c>
      <c r="E8">
        <v>7</v>
      </c>
      <c r="F8">
        <v>4.3</v>
      </c>
      <c r="G8" s="6">
        <f>C8-B8</f>
        <v>2452</v>
      </c>
      <c r="H8" t="str">
        <f t="shared" si="0"/>
        <v>average</v>
      </c>
      <c r="I8" t="str">
        <f>IF(D8&lt;=20%,"LOW DISCOUNT",IF(D8&lt;=40%,"MEDIUM DISCOUNT","HIGH DISCOUNT"))</f>
        <v>HIGH DISCOUNT</v>
      </c>
    </row>
    <row r="9" spans="1:9" x14ac:dyDescent="0.3">
      <c r="A9" t="s">
        <v>25</v>
      </c>
      <c r="B9" s="4">
        <v>38</v>
      </c>
      <c r="C9" s="4">
        <v>80</v>
      </c>
      <c r="D9" s="1">
        <v>0.53</v>
      </c>
      <c r="E9">
        <v>13</v>
      </c>
      <c r="F9">
        <v>3.3</v>
      </c>
      <c r="G9" s="6">
        <f>C9-B9</f>
        <v>42</v>
      </c>
      <c r="H9" t="str">
        <f t="shared" si="0"/>
        <v>average</v>
      </c>
      <c r="I9" t="str">
        <f>IF(D9&lt;=20%,"LOW DISCOUNT",IF(D9&lt;=40%,"MEDIUM DISCOUNT","HIGH DISCOUNT"))</f>
        <v>HIGH DISCOUNT</v>
      </c>
    </row>
    <row r="10" spans="1:9" x14ac:dyDescent="0.3">
      <c r="A10" t="s">
        <v>40</v>
      </c>
      <c r="B10" s="4">
        <v>171</v>
      </c>
      <c r="C10" s="4">
        <v>360</v>
      </c>
      <c r="D10" s="1">
        <v>0.53</v>
      </c>
      <c r="E10">
        <v>2</v>
      </c>
      <c r="F10">
        <v>4.3</v>
      </c>
      <c r="G10" s="6">
        <f>C10-B10</f>
        <v>189</v>
      </c>
      <c r="H10" t="str">
        <f t="shared" si="0"/>
        <v>average</v>
      </c>
      <c r="I10" t="str">
        <f>IF(D10&lt;=20%,"LOW DISCOUNT",IF(D10&lt;=40%,"MEDIUM DISCOUNT","HIGH DISCOUNT"))</f>
        <v>HIGH DISCOUNT</v>
      </c>
    </row>
    <row r="11" spans="1:9" x14ac:dyDescent="0.3">
      <c r="A11" t="s">
        <v>66</v>
      </c>
      <c r="B11" s="4">
        <v>325</v>
      </c>
      <c r="C11" s="4">
        <v>680</v>
      </c>
      <c r="D11" s="1">
        <v>0.52</v>
      </c>
      <c r="E11">
        <v>15</v>
      </c>
      <c r="F11">
        <v>2.7</v>
      </c>
      <c r="G11" s="6">
        <f>C11-B11</f>
        <v>355</v>
      </c>
      <c r="H11" t="str">
        <f t="shared" si="0"/>
        <v>poor</v>
      </c>
      <c r="I11" t="str">
        <f>IF(D11&lt;=20%,"LOW DISCOUNT",IF(D11&lt;=40%,"MEDIUM DISCOUNT","HIGH DISCOUNT"))</f>
        <v>HIGH DISCOUNT</v>
      </c>
    </row>
    <row r="12" spans="1:9" x14ac:dyDescent="0.3">
      <c r="A12" t="s">
        <v>34</v>
      </c>
      <c r="B12" s="4">
        <v>185</v>
      </c>
      <c r="C12" s="4">
        <v>382</v>
      </c>
      <c r="D12" s="1">
        <v>0.52</v>
      </c>
      <c r="E12">
        <v>9</v>
      </c>
      <c r="F12">
        <v>4.3</v>
      </c>
      <c r="G12" s="6">
        <f>C12-B12</f>
        <v>197</v>
      </c>
      <c r="H12" t="str">
        <f t="shared" si="0"/>
        <v>average</v>
      </c>
      <c r="I12" t="str">
        <f>IF(D12&lt;=20%,"LOW DISCOUNT",IF(D12&lt;=40%,"MEDIUM DISCOUNT","HIGH DISCOUNT"))</f>
        <v>HIGH DISCOUNT</v>
      </c>
    </row>
    <row r="13" spans="1:9" x14ac:dyDescent="0.3">
      <c r="A13" t="s">
        <v>20</v>
      </c>
      <c r="B13" s="4">
        <v>332</v>
      </c>
      <c r="C13" s="4">
        <v>684</v>
      </c>
      <c r="D13" s="1">
        <v>0.51</v>
      </c>
      <c r="E13">
        <v>2</v>
      </c>
      <c r="F13">
        <v>5</v>
      </c>
      <c r="G13" s="6">
        <f>C13-B13</f>
        <v>352</v>
      </c>
      <c r="H13" t="str">
        <f t="shared" si="0"/>
        <v>excellent</v>
      </c>
      <c r="I13" t="str">
        <f>IF(D13&lt;=20%,"LOW DISCOUNT",IF(D13&lt;=40%,"MEDIUM DISCOUNT","HIGH DISCOUNT"))</f>
        <v>HIGH DISCOUNT</v>
      </c>
    </row>
    <row r="14" spans="1:9" x14ac:dyDescent="0.3">
      <c r="A14" t="s">
        <v>69</v>
      </c>
      <c r="B14" s="4">
        <v>1000</v>
      </c>
      <c r="C14" s="4">
        <v>2000</v>
      </c>
      <c r="D14" s="1">
        <v>0.5</v>
      </c>
      <c r="E14">
        <v>7</v>
      </c>
      <c r="F14">
        <v>2.2999999999999998</v>
      </c>
      <c r="G14" s="6">
        <f>C14-B14</f>
        <v>1000</v>
      </c>
      <c r="H14" t="str">
        <f t="shared" si="0"/>
        <v>poor</v>
      </c>
      <c r="I14" t="str">
        <f>IF(D14&lt;=20%,"LOW DISCOUNT",IF(D14&lt;=40%,"MEDIUM DISCOUNT","HIGH DISCOUNT"))</f>
        <v>HIGH DISCOUNT</v>
      </c>
    </row>
    <row r="15" spans="1:9" x14ac:dyDescent="0.3">
      <c r="A15" t="s">
        <v>111</v>
      </c>
      <c r="B15" s="4">
        <v>450</v>
      </c>
      <c r="C15" s="4">
        <v>900</v>
      </c>
      <c r="D15" s="1">
        <v>0.5</v>
      </c>
      <c r="E15">
        <v>1</v>
      </c>
      <c r="F15">
        <v>2</v>
      </c>
      <c r="G15" s="6">
        <f>C15-B15</f>
        <v>450</v>
      </c>
      <c r="H15" t="str">
        <f t="shared" si="0"/>
        <v>poor</v>
      </c>
      <c r="I15" t="str">
        <f>IF(D15&lt;=20%,"LOW DISCOUNT",IF(D15&lt;=40%,"MEDIUM DISCOUNT","HIGH DISCOUNT"))</f>
        <v>HIGH DISCOUNT</v>
      </c>
    </row>
    <row r="16" spans="1:9" x14ac:dyDescent="0.3">
      <c r="A16" t="s">
        <v>45</v>
      </c>
      <c r="B16" s="4">
        <v>238</v>
      </c>
      <c r="C16" s="4">
        <v>476</v>
      </c>
      <c r="D16" s="1">
        <v>0.5</v>
      </c>
      <c r="E16">
        <v>0</v>
      </c>
      <c r="F16" t="s">
        <v>115</v>
      </c>
      <c r="G16" s="6">
        <f>C16-B16</f>
        <v>238</v>
      </c>
      <c r="H16" t="str">
        <f t="shared" si="0"/>
        <v>N/A</v>
      </c>
      <c r="I16" t="str">
        <f>IF(D16&lt;=20%,"LOW DISCOUNT",IF(D16&lt;=40%,"MEDIUM DISCOUNT","HIGH DISCOUNT"))</f>
        <v>HIGH DISCOUNT</v>
      </c>
    </row>
    <row r="17" spans="1:9" x14ac:dyDescent="0.3">
      <c r="A17" t="s">
        <v>48</v>
      </c>
      <c r="B17" s="4">
        <v>999</v>
      </c>
      <c r="C17" s="4">
        <v>2000</v>
      </c>
      <c r="D17" s="1">
        <v>0.5</v>
      </c>
      <c r="E17">
        <v>0</v>
      </c>
      <c r="F17" t="s">
        <v>115</v>
      </c>
      <c r="G17" s="6">
        <f>C17-B17</f>
        <v>1001</v>
      </c>
      <c r="H17" t="str">
        <f t="shared" si="0"/>
        <v>N/A</v>
      </c>
      <c r="I17" t="str">
        <f>IF(D17&lt;=20%,"LOW DISCOUNT",IF(D17&lt;=40%,"MEDIUM DISCOUNT","HIGH DISCOUNT"))</f>
        <v>HIGH DISCOUNT</v>
      </c>
    </row>
    <row r="18" spans="1:9" x14ac:dyDescent="0.3">
      <c r="A18" t="s">
        <v>53</v>
      </c>
      <c r="B18" s="4">
        <v>299</v>
      </c>
      <c r="C18" s="4">
        <v>600</v>
      </c>
      <c r="D18" s="1">
        <v>0.5</v>
      </c>
      <c r="E18">
        <v>0</v>
      </c>
      <c r="F18" t="s">
        <v>115</v>
      </c>
      <c r="G18" s="6">
        <f>C18-B18</f>
        <v>301</v>
      </c>
      <c r="H18" t="str">
        <f t="shared" si="0"/>
        <v>N/A</v>
      </c>
      <c r="I18" t="str">
        <f>IF(D18&lt;=20%,"LOW DISCOUNT",IF(D18&lt;=40%,"MEDIUM DISCOUNT","HIGH DISCOUNT"))</f>
        <v>HIGH DISCOUNT</v>
      </c>
    </row>
    <row r="19" spans="1:9" x14ac:dyDescent="0.3">
      <c r="A19" t="s">
        <v>91</v>
      </c>
      <c r="B19" s="4">
        <v>850</v>
      </c>
      <c r="C19" s="4">
        <v>1700</v>
      </c>
      <c r="D19" s="1">
        <v>0.5</v>
      </c>
      <c r="E19">
        <v>0</v>
      </c>
      <c r="F19" t="s">
        <v>115</v>
      </c>
      <c r="G19" s="6">
        <f>C19-B19</f>
        <v>850</v>
      </c>
      <c r="H19" t="str">
        <f t="shared" si="0"/>
        <v>N/A</v>
      </c>
      <c r="I19" t="str">
        <f>IF(D19&lt;=20%,"LOW DISCOUNT",IF(D19&lt;=40%,"MEDIUM DISCOUNT","HIGH DISCOUNT"))</f>
        <v>HIGH DISCOUNT</v>
      </c>
    </row>
    <row r="20" spans="1:9" x14ac:dyDescent="0.3">
      <c r="A20" t="s">
        <v>95</v>
      </c>
      <c r="B20" s="4">
        <v>1200</v>
      </c>
      <c r="C20" s="4">
        <v>2400</v>
      </c>
      <c r="D20" s="1">
        <v>0.5</v>
      </c>
      <c r="E20">
        <v>0</v>
      </c>
      <c r="F20" t="s">
        <v>115</v>
      </c>
      <c r="G20" s="6">
        <f>C20-B20</f>
        <v>1200</v>
      </c>
      <c r="H20" t="str">
        <f t="shared" si="0"/>
        <v>N/A</v>
      </c>
      <c r="I20" t="str">
        <f>IF(D20&lt;=20%,"LOW DISCOUNT",IF(D20&lt;=40%,"MEDIUM DISCOUNT","HIGH DISCOUNT"))</f>
        <v>HIGH DISCOUNT</v>
      </c>
    </row>
    <row r="21" spans="1:9" x14ac:dyDescent="0.3">
      <c r="A21" t="s">
        <v>65</v>
      </c>
      <c r="B21" s="4">
        <v>445</v>
      </c>
      <c r="C21" s="4">
        <v>873</v>
      </c>
      <c r="D21" s="1">
        <v>0.49</v>
      </c>
      <c r="E21">
        <v>69</v>
      </c>
      <c r="F21">
        <v>2.8</v>
      </c>
      <c r="G21" s="6">
        <f>C21-B21</f>
        <v>428</v>
      </c>
      <c r="H21" t="str">
        <f t="shared" si="0"/>
        <v>poor</v>
      </c>
      <c r="I21" t="str">
        <f>IF(D21&lt;=20%,"LOW DISCOUNT",IF(D21&lt;=40%,"MEDIUM DISCOUNT","HIGH DISCOUNT"))</f>
        <v>HIGH DISCOUNT</v>
      </c>
    </row>
    <row r="22" spans="1:9" x14ac:dyDescent="0.3">
      <c r="A22" t="s">
        <v>24</v>
      </c>
      <c r="B22" s="4">
        <v>998</v>
      </c>
      <c r="C22" s="4">
        <v>1966</v>
      </c>
      <c r="D22" s="1">
        <v>0.49</v>
      </c>
      <c r="E22">
        <v>44</v>
      </c>
      <c r="F22">
        <v>4.5999999999999996</v>
      </c>
      <c r="G22" s="6">
        <f>C22-B22</f>
        <v>968</v>
      </c>
      <c r="H22" t="str">
        <f t="shared" si="0"/>
        <v>excellent</v>
      </c>
      <c r="I22" t="str">
        <f>IF(D22&lt;=20%,"LOW DISCOUNT",IF(D22&lt;=40%,"MEDIUM DISCOUNT","HIGH DISCOUNT"))</f>
        <v>HIGH DISCOUNT</v>
      </c>
    </row>
    <row r="23" spans="1:9" x14ac:dyDescent="0.3">
      <c r="A23" t="s">
        <v>22</v>
      </c>
      <c r="B23" s="4">
        <v>2025</v>
      </c>
      <c r="C23" s="4">
        <v>3971</v>
      </c>
      <c r="D23" s="1">
        <v>0.49</v>
      </c>
      <c r="E23">
        <v>3</v>
      </c>
      <c r="F23">
        <v>5</v>
      </c>
      <c r="G23" s="6">
        <f>C23-B23</f>
        <v>1946</v>
      </c>
      <c r="H23" t="str">
        <f t="shared" si="0"/>
        <v>excellent</v>
      </c>
      <c r="I23" t="str">
        <f>IF(D23&lt;=20%,"LOW DISCOUNT",IF(D23&lt;=40%,"MEDIUM DISCOUNT","HIGH DISCOUNT"))</f>
        <v>HIGH DISCOUNT</v>
      </c>
    </row>
    <row r="24" spans="1:9" x14ac:dyDescent="0.3">
      <c r="A24" t="s">
        <v>82</v>
      </c>
      <c r="B24" s="4">
        <v>979</v>
      </c>
      <c r="C24" s="4">
        <v>1920</v>
      </c>
      <c r="D24" s="1">
        <v>0.49</v>
      </c>
      <c r="E24">
        <v>1</v>
      </c>
      <c r="F24">
        <v>5</v>
      </c>
      <c r="G24" s="6">
        <f>C24-B24</f>
        <v>941</v>
      </c>
      <c r="H24" t="str">
        <f t="shared" si="0"/>
        <v>excellent</v>
      </c>
      <c r="I24" t="str">
        <f>IF(D24&lt;=20%,"LOW DISCOUNT",IF(D24&lt;=40%,"MEDIUM DISCOUNT","HIGH DISCOUNT"))</f>
        <v>HIGH DISCOUNT</v>
      </c>
    </row>
    <row r="25" spans="1:9" x14ac:dyDescent="0.3">
      <c r="A25" t="s">
        <v>85</v>
      </c>
      <c r="B25" s="4">
        <v>330</v>
      </c>
      <c r="C25" s="4">
        <v>647</v>
      </c>
      <c r="D25" s="1">
        <v>0.49</v>
      </c>
      <c r="E25">
        <v>1</v>
      </c>
      <c r="F25">
        <v>4</v>
      </c>
      <c r="G25" s="6">
        <f>C25-B25</f>
        <v>317</v>
      </c>
      <c r="H25" t="str">
        <f t="shared" si="0"/>
        <v>average</v>
      </c>
      <c r="I25" t="str">
        <f>IF(D25&lt;=20%,"LOW DISCOUNT",IF(D25&lt;=40%,"MEDIUM DISCOUNT","HIGH DISCOUNT"))</f>
        <v>HIGH DISCOUNT</v>
      </c>
    </row>
    <row r="26" spans="1:9" x14ac:dyDescent="0.3">
      <c r="A26" t="s">
        <v>44</v>
      </c>
      <c r="B26" s="4">
        <v>475</v>
      </c>
      <c r="C26" s="4">
        <v>931</v>
      </c>
      <c r="D26" s="1">
        <v>0.49</v>
      </c>
      <c r="E26">
        <v>0</v>
      </c>
      <c r="F26" t="s">
        <v>115</v>
      </c>
      <c r="G26" s="6">
        <f>C26-B26</f>
        <v>456</v>
      </c>
      <c r="H26" t="str">
        <f t="shared" si="0"/>
        <v>N/A</v>
      </c>
      <c r="I26" t="str">
        <f>IF(D26&lt;=20%,"LOW DISCOUNT",IF(D26&lt;=40%,"MEDIUM DISCOUNT","HIGH DISCOUNT"))</f>
        <v>HIGH DISCOUNT</v>
      </c>
    </row>
    <row r="27" spans="1:9" x14ac:dyDescent="0.3">
      <c r="A27" t="s">
        <v>50</v>
      </c>
      <c r="B27" s="4">
        <v>671</v>
      </c>
      <c r="C27" s="4">
        <v>1316</v>
      </c>
      <c r="D27" s="1">
        <v>0.49</v>
      </c>
      <c r="E27">
        <v>0</v>
      </c>
      <c r="F27" t="s">
        <v>115</v>
      </c>
      <c r="G27" s="6">
        <f>C27-B27</f>
        <v>645</v>
      </c>
      <c r="H27" t="str">
        <f t="shared" si="0"/>
        <v>N/A</v>
      </c>
      <c r="I27" t="str">
        <f>IF(D27&lt;=20%,"LOW DISCOUNT",IF(D27&lt;=40%,"MEDIUM DISCOUNT","HIGH DISCOUNT"))</f>
        <v>HIGH DISCOUNT</v>
      </c>
    </row>
    <row r="28" spans="1:9" x14ac:dyDescent="0.3">
      <c r="A28" t="s">
        <v>80</v>
      </c>
      <c r="B28" s="4">
        <v>230</v>
      </c>
      <c r="C28" s="4">
        <v>450</v>
      </c>
      <c r="D28" s="1">
        <v>0.49</v>
      </c>
      <c r="E28">
        <v>0</v>
      </c>
      <c r="F28" t="s">
        <v>115</v>
      </c>
      <c r="G28" s="6">
        <f>C28-B28</f>
        <v>220</v>
      </c>
      <c r="H28" t="str">
        <f t="shared" si="0"/>
        <v>N/A</v>
      </c>
      <c r="I28" t="str">
        <f>IF(D28&lt;=20%,"LOW DISCOUNT",IF(D28&lt;=40%,"MEDIUM DISCOUNT","HIGH DISCOUNT"))</f>
        <v>HIGH DISCOUNT</v>
      </c>
    </row>
    <row r="29" spans="1:9" x14ac:dyDescent="0.3">
      <c r="A29" t="s">
        <v>87</v>
      </c>
      <c r="B29" s="4">
        <v>274</v>
      </c>
      <c r="C29" s="4">
        <v>537</v>
      </c>
      <c r="D29" s="1">
        <v>0.49</v>
      </c>
      <c r="E29">
        <v>0</v>
      </c>
      <c r="F29" t="s">
        <v>115</v>
      </c>
      <c r="G29" s="6">
        <f>C29-B29</f>
        <v>263</v>
      </c>
      <c r="H29" t="str">
        <f t="shared" si="0"/>
        <v>N/A</v>
      </c>
      <c r="I29" t="str">
        <f>IF(D29&lt;=20%,"LOW DISCOUNT",IF(D29&lt;=40%,"MEDIUM DISCOUNT","HIGH DISCOUNT"))</f>
        <v>HIGH DISCOUNT</v>
      </c>
    </row>
    <row r="30" spans="1:9" x14ac:dyDescent="0.3">
      <c r="A30" t="s">
        <v>98</v>
      </c>
      <c r="B30" s="4">
        <v>248</v>
      </c>
      <c r="C30" s="4">
        <v>486</v>
      </c>
      <c r="D30" s="1">
        <v>0.49</v>
      </c>
      <c r="E30">
        <v>0</v>
      </c>
      <c r="F30" t="s">
        <v>115</v>
      </c>
      <c r="G30" s="6">
        <f>C30-B30</f>
        <v>238</v>
      </c>
      <c r="H30" t="str">
        <f t="shared" si="0"/>
        <v>N/A</v>
      </c>
      <c r="I30" t="str">
        <f>IF(D30&lt;=20%,"LOW DISCOUNT",IF(D30&lt;=40%,"MEDIUM DISCOUNT","HIGH DISCOUNT"))</f>
        <v>HIGH DISCOUNT</v>
      </c>
    </row>
    <row r="31" spans="1:9" x14ac:dyDescent="0.3">
      <c r="A31" t="s">
        <v>100</v>
      </c>
      <c r="B31" s="4">
        <v>525</v>
      </c>
      <c r="C31" s="4">
        <v>1029</v>
      </c>
      <c r="D31" s="1">
        <v>0.49</v>
      </c>
      <c r="E31">
        <v>0</v>
      </c>
      <c r="F31" t="s">
        <v>115</v>
      </c>
      <c r="G31" s="6">
        <f>C31-B31</f>
        <v>504</v>
      </c>
      <c r="H31" t="str">
        <f t="shared" si="0"/>
        <v>N/A</v>
      </c>
      <c r="I31" t="str">
        <f>IF(D31&lt;=20%,"LOW DISCOUNT",IF(D31&lt;=40%,"MEDIUM DISCOUNT","HIGH DISCOUNT"))</f>
        <v>HIGH DISCOUNT</v>
      </c>
    </row>
    <row r="32" spans="1:9" x14ac:dyDescent="0.3">
      <c r="A32" t="s">
        <v>60</v>
      </c>
      <c r="B32" s="4">
        <v>799</v>
      </c>
      <c r="C32" s="4">
        <v>1567</v>
      </c>
      <c r="D32" s="1">
        <v>0.49</v>
      </c>
      <c r="E32">
        <v>0</v>
      </c>
      <c r="F32" t="s">
        <v>115</v>
      </c>
      <c r="G32" s="6">
        <f>C32-B32</f>
        <v>768</v>
      </c>
      <c r="H32" t="str">
        <f t="shared" si="0"/>
        <v>N/A</v>
      </c>
      <c r="I32" t="str">
        <f>IF(D32&lt;=20%,"LOW DISCOUNT",IF(D32&lt;=40%,"MEDIUM DISCOUNT","HIGH DISCOUNT"))</f>
        <v>HIGH DISCOUNT</v>
      </c>
    </row>
    <row r="33" spans="1:9" x14ac:dyDescent="0.3">
      <c r="A33" t="s">
        <v>52</v>
      </c>
      <c r="B33" s="4">
        <v>176</v>
      </c>
      <c r="C33" s="4">
        <v>345</v>
      </c>
      <c r="D33" s="1">
        <v>0.49</v>
      </c>
      <c r="E33">
        <v>0</v>
      </c>
      <c r="F33" t="s">
        <v>115</v>
      </c>
      <c r="G33" s="6">
        <f>C33-B33</f>
        <v>169</v>
      </c>
      <c r="H33" t="str">
        <f t="shared" si="0"/>
        <v>N/A</v>
      </c>
      <c r="I33" t="str">
        <f>IF(D33&lt;=20%,"LOW DISCOUNT",IF(D33&lt;=40%,"MEDIUM DISCOUNT","HIGH DISCOUNT"))</f>
        <v>HIGH DISCOUNT</v>
      </c>
    </row>
    <row r="34" spans="1:9" x14ac:dyDescent="0.3">
      <c r="A34" t="s">
        <v>60</v>
      </c>
      <c r="B34" s="4">
        <v>657</v>
      </c>
      <c r="C34" s="4">
        <v>1288</v>
      </c>
      <c r="D34" s="1">
        <v>0.49</v>
      </c>
      <c r="E34">
        <v>0</v>
      </c>
      <c r="F34" t="s">
        <v>115</v>
      </c>
      <c r="G34" s="6">
        <f>C34-B34</f>
        <v>631</v>
      </c>
      <c r="H34" t="str">
        <f t="shared" si="0"/>
        <v>N/A</v>
      </c>
      <c r="I34" t="str">
        <f>IF(D34&lt;=20%,"LOW DISCOUNT",IF(D34&lt;=40%,"MEDIUM DISCOUNT","HIGH DISCOUNT"))</f>
        <v>HIGH DISCOUNT</v>
      </c>
    </row>
    <row r="35" spans="1:9" x14ac:dyDescent="0.3">
      <c r="A35" t="s">
        <v>36</v>
      </c>
      <c r="B35" s="4">
        <v>1820</v>
      </c>
      <c r="C35" s="4">
        <v>3490</v>
      </c>
      <c r="D35" s="1">
        <v>0.48</v>
      </c>
      <c r="E35">
        <v>9</v>
      </c>
      <c r="F35">
        <v>4.3</v>
      </c>
      <c r="G35" s="6">
        <f>C35-B35</f>
        <v>1670</v>
      </c>
      <c r="H35" t="str">
        <f t="shared" si="0"/>
        <v>average</v>
      </c>
      <c r="I35" t="str">
        <f>IF(D35&lt;=20%,"LOW DISCOUNT",IF(D35&lt;=40%,"MEDIUM DISCOUNT","HIGH DISCOUNT"))</f>
        <v>HIGH DISCOUNT</v>
      </c>
    </row>
    <row r="36" spans="1:9" x14ac:dyDescent="0.3">
      <c r="A36" t="s">
        <v>59</v>
      </c>
      <c r="B36" s="4">
        <v>699</v>
      </c>
      <c r="C36" s="4">
        <v>1343</v>
      </c>
      <c r="D36" s="1">
        <v>0.48</v>
      </c>
      <c r="E36">
        <v>0</v>
      </c>
      <c r="F36" t="s">
        <v>115</v>
      </c>
      <c r="G36" s="6">
        <f>C36-B36</f>
        <v>644</v>
      </c>
      <c r="H36" t="str">
        <f t="shared" si="0"/>
        <v>N/A</v>
      </c>
      <c r="I36" t="str">
        <f>IF(D36&lt;=20%,"LOW DISCOUNT",IF(D36&lt;=40%,"MEDIUM DISCOUNT","HIGH DISCOUNT"))</f>
        <v>HIGH DISCOUNT</v>
      </c>
    </row>
    <row r="37" spans="1:9" x14ac:dyDescent="0.3">
      <c r="A37" t="s">
        <v>92</v>
      </c>
      <c r="B37" s="4">
        <v>1300</v>
      </c>
      <c r="C37" s="4">
        <v>2500</v>
      </c>
      <c r="D37" s="1">
        <v>0.48</v>
      </c>
      <c r="E37">
        <v>0</v>
      </c>
      <c r="F37" t="s">
        <v>115</v>
      </c>
      <c r="G37" s="6">
        <f>C37-B37</f>
        <v>1200</v>
      </c>
      <c r="H37" t="str">
        <f t="shared" si="0"/>
        <v>N/A</v>
      </c>
      <c r="I37" t="str">
        <f>IF(D37&lt;=20%,"LOW DISCOUNT",IF(D37&lt;=40%,"MEDIUM DISCOUNT","HIGH DISCOUNT"))</f>
        <v>HIGH DISCOUNT</v>
      </c>
    </row>
    <row r="38" spans="1:9" x14ac:dyDescent="0.3">
      <c r="A38" t="s">
        <v>93</v>
      </c>
      <c r="B38" s="4">
        <v>105</v>
      </c>
      <c r="C38" s="4">
        <v>200</v>
      </c>
      <c r="D38" s="1">
        <v>0.48</v>
      </c>
      <c r="E38">
        <v>0</v>
      </c>
      <c r="F38" t="s">
        <v>115</v>
      </c>
      <c r="G38" s="6">
        <f>C38-B38</f>
        <v>95</v>
      </c>
      <c r="H38" t="str">
        <f t="shared" si="0"/>
        <v>N/A</v>
      </c>
      <c r="I38" t="str">
        <f>IF(D38&lt;=20%,"LOW DISCOUNT",IF(D38&lt;=40%,"MEDIUM DISCOUNT","HIGH DISCOUNT"))</f>
        <v>HIGH DISCOUNT</v>
      </c>
    </row>
    <row r="39" spans="1:9" x14ac:dyDescent="0.3">
      <c r="A39" t="s">
        <v>6</v>
      </c>
      <c r="B39" s="4">
        <v>527</v>
      </c>
      <c r="C39" s="4">
        <v>999</v>
      </c>
      <c r="D39" s="1">
        <v>0.47</v>
      </c>
      <c r="E39">
        <v>14</v>
      </c>
      <c r="F39">
        <v>4.0999999999999996</v>
      </c>
      <c r="G39" s="6">
        <f>C39-B39</f>
        <v>472</v>
      </c>
      <c r="H39" t="str">
        <f t="shared" si="0"/>
        <v>average</v>
      </c>
      <c r="I39" t="str">
        <f>IF(D39&lt;=20%,"LOW DISCOUNT",IF(D39&lt;=40%,"MEDIUM DISCOUNT","HIGH DISCOUNT"))</f>
        <v>HIGH DISCOUNT</v>
      </c>
    </row>
    <row r="40" spans="1:9" x14ac:dyDescent="0.3">
      <c r="A40" t="s">
        <v>17</v>
      </c>
      <c r="B40" s="4">
        <v>552</v>
      </c>
      <c r="C40" s="4">
        <v>1035</v>
      </c>
      <c r="D40" s="1">
        <v>0.47</v>
      </c>
      <c r="E40">
        <v>12</v>
      </c>
      <c r="F40">
        <v>4.8</v>
      </c>
      <c r="G40" s="6">
        <f>C40-B40</f>
        <v>483</v>
      </c>
      <c r="H40" t="str">
        <f t="shared" si="0"/>
        <v>excellent</v>
      </c>
      <c r="I40" t="str">
        <f>IF(D40&lt;=20%,"LOW DISCOUNT",IF(D40&lt;=40%,"MEDIUM DISCOUNT","HIGH DISCOUNT"))</f>
        <v>HIGH DISCOUNT</v>
      </c>
    </row>
    <row r="41" spans="1:9" x14ac:dyDescent="0.3">
      <c r="A41" t="s">
        <v>76</v>
      </c>
      <c r="B41" s="4">
        <v>1570</v>
      </c>
      <c r="C41" s="4">
        <v>2988</v>
      </c>
      <c r="D41" s="1">
        <v>0.47</v>
      </c>
      <c r="E41">
        <v>7</v>
      </c>
      <c r="F41">
        <v>2.1</v>
      </c>
      <c r="G41" s="6">
        <f>C41-B41</f>
        <v>1418</v>
      </c>
      <c r="H41" t="str">
        <f t="shared" si="0"/>
        <v>poor</v>
      </c>
      <c r="I41" t="str">
        <f>IF(D41&lt;=20%,"LOW DISCOUNT",IF(D41&lt;=40%,"MEDIUM DISCOUNT","HIGH DISCOUNT"))</f>
        <v>HIGH DISCOUNT</v>
      </c>
    </row>
    <row r="42" spans="1:9" x14ac:dyDescent="0.3">
      <c r="A42" t="s">
        <v>75</v>
      </c>
      <c r="B42" s="4">
        <v>968</v>
      </c>
      <c r="C42" s="4">
        <v>1814</v>
      </c>
      <c r="D42" s="1">
        <v>0.47</v>
      </c>
      <c r="E42">
        <v>6</v>
      </c>
      <c r="F42">
        <v>2.2000000000000002</v>
      </c>
      <c r="G42" s="6">
        <f>C42-B42</f>
        <v>846</v>
      </c>
      <c r="H42" t="str">
        <f t="shared" si="0"/>
        <v>poor</v>
      </c>
      <c r="I42" t="str">
        <f>IF(D42&lt;=20%,"LOW DISCOUNT",IF(D42&lt;=40%,"MEDIUM DISCOUNT","HIGH DISCOUNT"))</f>
        <v>HIGH DISCOUNT</v>
      </c>
    </row>
    <row r="43" spans="1:9" x14ac:dyDescent="0.3">
      <c r="A43" t="s">
        <v>77</v>
      </c>
      <c r="B43" s="4">
        <v>790</v>
      </c>
      <c r="C43" s="4">
        <v>1485</v>
      </c>
      <c r="D43" s="1">
        <v>0.47</v>
      </c>
      <c r="E43">
        <v>0</v>
      </c>
      <c r="F43" t="s">
        <v>115</v>
      </c>
      <c r="G43" s="6">
        <f>C43-B43</f>
        <v>695</v>
      </c>
      <c r="H43" t="str">
        <f t="shared" si="0"/>
        <v>N/A</v>
      </c>
      <c r="I43" t="str">
        <f>IF(D43&lt;=20%,"LOW DISCOUNT",IF(D43&lt;=40%,"MEDIUM DISCOUNT","HIGH DISCOUNT"))</f>
        <v>HIGH DISCOUNT</v>
      </c>
    </row>
    <row r="44" spans="1:9" x14ac:dyDescent="0.3">
      <c r="A44" t="s">
        <v>112</v>
      </c>
      <c r="B44" s="4">
        <v>169</v>
      </c>
      <c r="C44" s="4">
        <v>320</v>
      </c>
      <c r="D44" s="1">
        <v>0.47</v>
      </c>
      <c r="E44">
        <v>0</v>
      </c>
      <c r="F44" t="s">
        <v>115</v>
      </c>
      <c r="G44" s="6">
        <f>C44-B44</f>
        <v>151</v>
      </c>
      <c r="H44" t="str">
        <f t="shared" si="0"/>
        <v>N/A</v>
      </c>
      <c r="I44" t="str">
        <f>IF(D44&lt;=20%,"LOW DISCOUNT",IF(D44&lt;=40%,"MEDIUM DISCOUNT","HIGH DISCOUNT"))</f>
        <v>HIGH DISCOUNT</v>
      </c>
    </row>
    <row r="45" spans="1:9" x14ac:dyDescent="0.3">
      <c r="A45" t="s">
        <v>94</v>
      </c>
      <c r="B45" s="4">
        <v>899</v>
      </c>
      <c r="C45" s="4">
        <v>1699</v>
      </c>
      <c r="D45" s="1">
        <v>0.47</v>
      </c>
      <c r="E45">
        <v>0</v>
      </c>
      <c r="F45" t="s">
        <v>115</v>
      </c>
      <c r="G45" s="6">
        <f>C45-B45</f>
        <v>800</v>
      </c>
      <c r="H45" t="str">
        <f t="shared" si="0"/>
        <v>N/A</v>
      </c>
      <c r="I45" t="str">
        <f>IF(D45&lt;=20%,"LOW DISCOUNT",IF(D45&lt;=40%,"MEDIUM DISCOUNT","HIGH DISCOUNT"))</f>
        <v>HIGH DISCOUNT</v>
      </c>
    </row>
    <row r="46" spans="1:9" x14ac:dyDescent="0.3">
      <c r="A46" t="s">
        <v>21</v>
      </c>
      <c r="B46" s="4">
        <v>195</v>
      </c>
      <c r="C46" s="4">
        <v>360</v>
      </c>
      <c r="D46" s="1">
        <v>0.46</v>
      </c>
      <c r="E46">
        <v>2</v>
      </c>
      <c r="F46">
        <v>5</v>
      </c>
      <c r="G46" s="6">
        <f>C46-B46</f>
        <v>165</v>
      </c>
      <c r="H46" t="str">
        <f t="shared" si="0"/>
        <v>excellent</v>
      </c>
      <c r="I46" t="str">
        <f>IF(D46&lt;=20%,"LOW DISCOUNT",IF(D46&lt;=40%,"MEDIUM DISCOUNT","HIGH DISCOUNT"))</f>
        <v>HIGH DISCOUNT</v>
      </c>
    </row>
    <row r="47" spans="1:9" x14ac:dyDescent="0.3">
      <c r="A47" t="s">
        <v>81</v>
      </c>
      <c r="B47" s="4">
        <v>1189</v>
      </c>
      <c r="C47" s="4">
        <v>2199</v>
      </c>
      <c r="D47" s="1">
        <v>0.46</v>
      </c>
      <c r="E47">
        <v>1</v>
      </c>
      <c r="F47">
        <v>3</v>
      </c>
      <c r="G47" s="6">
        <f>C47-B47</f>
        <v>1010</v>
      </c>
      <c r="H47" t="str">
        <f t="shared" si="0"/>
        <v>average</v>
      </c>
      <c r="I47" t="str">
        <f>IF(D47&lt;=20%,"LOW DISCOUNT",IF(D47&lt;=40%,"MEDIUM DISCOUNT","HIGH DISCOUNT"))</f>
        <v>HIGH DISCOUNT</v>
      </c>
    </row>
    <row r="48" spans="1:9" x14ac:dyDescent="0.3">
      <c r="A48" t="s">
        <v>114</v>
      </c>
      <c r="B48" s="4">
        <v>2200</v>
      </c>
      <c r="C48" s="4">
        <v>4080</v>
      </c>
      <c r="D48" s="1">
        <v>0.46</v>
      </c>
      <c r="E48">
        <v>0</v>
      </c>
      <c r="F48" t="s">
        <v>115</v>
      </c>
      <c r="G48" s="6">
        <f>C48-B48</f>
        <v>1880</v>
      </c>
      <c r="H48" t="str">
        <f t="shared" si="0"/>
        <v>N/A</v>
      </c>
      <c r="I48" t="str">
        <f>IF(D48&lt;=20%,"LOW DISCOUNT",IF(D48&lt;=40%,"MEDIUM DISCOUNT","HIGH DISCOUNT"))</f>
        <v>HIGH DISCOUNT</v>
      </c>
    </row>
    <row r="49" spans="1:9" x14ac:dyDescent="0.3">
      <c r="A49" t="s">
        <v>71</v>
      </c>
      <c r="B49" s="4">
        <v>382</v>
      </c>
      <c r="C49" s="4">
        <v>700</v>
      </c>
      <c r="D49" s="1">
        <v>0.45</v>
      </c>
      <c r="E49">
        <v>17</v>
      </c>
      <c r="F49">
        <v>2.6</v>
      </c>
      <c r="G49" s="6">
        <f>C49-B49</f>
        <v>318</v>
      </c>
      <c r="H49" t="str">
        <f t="shared" si="0"/>
        <v>poor</v>
      </c>
      <c r="I49" t="str">
        <f>IF(D49&lt;=20%,"LOW DISCOUNT",IF(D49&lt;=40%,"MEDIUM DISCOUNT","HIGH DISCOUNT"))</f>
        <v>HIGH DISCOUNT</v>
      </c>
    </row>
    <row r="50" spans="1:9" x14ac:dyDescent="0.3">
      <c r="A50" t="s">
        <v>68</v>
      </c>
      <c r="B50" s="4">
        <v>990</v>
      </c>
      <c r="C50" s="4">
        <v>1814</v>
      </c>
      <c r="D50" s="1">
        <v>0.45</v>
      </c>
      <c r="E50">
        <v>6</v>
      </c>
      <c r="F50">
        <v>2.2000000000000002</v>
      </c>
      <c r="G50" s="6">
        <f>C50-B50</f>
        <v>824</v>
      </c>
      <c r="H50" t="str">
        <f t="shared" si="0"/>
        <v>poor</v>
      </c>
      <c r="I50" t="str">
        <f>IF(D50&lt;=20%,"LOW DISCOUNT",IF(D50&lt;=40%,"MEDIUM DISCOUNT","HIGH DISCOUNT"))</f>
        <v>HIGH DISCOUNT</v>
      </c>
    </row>
    <row r="51" spans="1:9" x14ac:dyDescent="0.3">
      <c r="A51" t="s">
        <v>14</v>
      </c>
      <c r="B51" s="4">
        <v>1600</v>
      </c>
      <c r="C51" s="4">
        <v>2929</v>
      </c>
      <c r="D51" s="1">
        <v>0.45</v>
      </c>
      <c r="E51">
        <v>5</v>
      </c>
      <c r="F51">
        <v>3.8</v>
      </c>
      <c r="G51" s="6">
        <f>C51-B51</f>
        <v>1329</v>
      </c>
      <c r="H51" t="str">
        <f t="shared" si="0"/>
        <v>average</v>
      </c>
      <c r="I51" t="str">
        <f>IF(D51&lt;=20%,"LOW DISCOUNT",IF(D51&lt;=40%,"MEDIUM DISCOUNT","HIGH DISCOUNT"))</f>
        <v>HIGH DISCOUNT</v>
      </c>
    </row>
    <row r="52" spans="1:9" x14ac:dyDescent="0.3">
      <c r="A52" t="s">
        <v>58</v>
      </c>
      <c r="B52" s="4">
        <v>499</v>
      </c>
      <c r="C52" s="4">
        <v>900</v>
      </c>
      <c r="D52" s="1">
        <v>0.45</v>
      </c>
      <c r="E52">
        <v>0</v>
      </c>
      <c r="F52" t="s">
        <v>115</v>
      </c>
      <c r="G52" s="6">
        <f>C52-B52</f>
        <v>401</v>
      </c>
      <c r="H52" t="str">
        <f t="shared" si="0"/>
        <v>N/A</v>
      </c>
      <c r="I52" t="str">
        <f>IF(D52&lt;=20%,"LOW DISCOUNT",IF(D52&lt;=40%,"MEDIUM DISCOUNT","HIGH DISCOUNT"))</f>
        <v>HIGH DISCOUNT</v>
      </c>
    </row>
    <row r="53" spans="1:9" x14ac:dyDescent="0.3">
      <c r="A53" t="s">
        <v>73</v>
      </c>
      <c r="B53" s="4">
        <v>345</v>
      </c>
      <c r="C53" s="4">
        <v>602</v>
      </c>
      <c r="D53" s="1">
        <v>0.43</v>
      </c>
      <c r="E53">
        <v>6</v>
      </c>
      <c r="F53">
        <v>2.2999999999999998</v>
      </c>
      <c r="G53" s="6">
        <f>C53-B53</f>
        <v>257</v>
      </c>
      <c r="H53" t="str">
        <f t="shared" si="0"/>
        <v>poor</v>
      </c>
      <c r="I53" t="str">
        <f>IF(D53&lt;=20%,"LOW DISCOUNT",IF(D53&lt;=40%,"MEDIUM DISCOUNT","HIGH DISCOUNT"))</f>
        <v>HIGH DISCOUNT</v>
      </c>
    </row>
    <row r="54" spans="1:9" x14ac:dyDescent="0.3">
      <c r="A54" t="s">
        <v>74</v>
      </c>
      <c r="B54" s="4">
        <v>509</v>
      </c>
      <c r="C54" s="4">
        <v>899</v>
      </c>
      <c r="D54" s="1">
        <v>0.43</v>
      </c>
      <c r="E54">
        <v>5</v>
      </c>
      <c r="F54">
        <v>3</v>
      </c>
      <c r="G54" s="6">
        <f>C54-B54</f>
        <v>390</v>
      </c>
      <c r="H54" t="str">
        <f t="shared" si="0"/>
        <v>average</v>
      </c>
      <c r="I54" t="str">
        <f>IF(D54&lt;=20%,"LOW DISCOUNT",IF(D54&lt;=40%,"MEDIUM DISCOUNT","HIGH DISCOUNT"))</f>
        <v>HIGH DISCOUNT</v>
      </c>
    </row>
    <row r="55" spans="1:9" x14ac:dyDescent="0.3">
      <c r="A55" t="s">
        <v>78</v>
      </c>
      <c r="B55" s="4">
        <v>690</v>
      </c>
      <c r="C55" s="4">
        <v>1200</v>
      </c>
      <c r="D55" s="1">
        <v>0.43</v>
      </c>
      <c r="E55">
        <v>0</v>
      </c>
      <c r="F55" t="s">
        <v>115</v>
      </c>
      <c r="G55" s="6">
        <f>C55-B55</f>
        <v>510</v>
      </c>
      <c r="H55" t="str">
        <f t="shared" si="0"/>
        <v>N/A</v>
      </c>
      <c r="I55" t="str">
        <f>IF(D55&lt;=20%,"LOW DISCOUNT",IF(D55&lt;=40%,"MEDIUM DISCOUNT","HIGH DISCOUNT"))</f>
        <v>HIGH DISCOUNT</v>
      </c>
    </row>
    <row r="56" spans="1:9" x14ac:dyDescent="0.3">
      <c r="A56" t="s">
        <v>90</v>
      </c>
      <c r="B56" s="4">
        <v>630</v>
      </c>
      <c r="C56" s="4">
        <v>1100</v>
      </c>
      <c r="D56" s="1">
        <v>0.43</v>
      </c>
      <c r="E56">
        <v>0</v>
      </c>
      <c r="F56" t="s">
        <v>115</v>
      </c>
      <c r="G56" s="6">
        <f>C56-B56</f>
        <v>470</v>
      </c>
      <c r="H56" t="str">
        <f t="shared" si="0"/>
        <v>N/A</v>
      </c>
      <c r="I56" t="str">
        <f>IF(D56&lt;=20%,"LOW DISCOUNT",IF(D56&lt;=40%,"MEDIUM DISCOUNT","HIGH DISCOUNT"))</f>
        <v>HIGH DISCOUNT</v>
      </c>
    </row>
    <row r="57" spans="1:9" x14ac:dyDescent="0.3">
      <c r="A57" t="s">
        <v>18</v>
      </c>
      <c r="B57" s="4">
        <v>501</v>
      </c>
      <c r="C57" s="4">
        <v>860</v>
      </c>
      <c r="D57" s="1">
        <v>0.42</v>
      </c>
      <c r="E57">
        <v>6</v>
      </c>
      <c r="F57">
        <v>4.5</v>
      </c>
      <c r="G57" s="6">
        <f>C57-B57</f>
        <v>359</v>
      </c>
      <c r="H57" t="str">
        <f t="shared" si="0"/>
        <v>excellent</v>
      </c>
      <c r="I57" t="str">
        <f>IF(D57&lt;=20%,"LOW DISCOUNT",IF(D57&lt;=40%,"MEDIUM DISCOUNT","HIGH DISCOUNT"))</f>
        <v>HIGH DISCOUNT</v>
      </c>
    </row>
    <row r="58" spans="1:9" x14ac:dyDescent="0.3">
      <c r="A58" t="s">
        <v>26</v>
      </c>
      <c r="B58" s="4">
        <v>1860</v>
      </c>
      <c r="C58" s="4">
        <v>3220</v>
      </c>
      <c r="D58" s="1">
        <v>0.42</v>
      </c>
      <c r="E58">
        <v>0</v>
      </c>
      <c r="F58" t="s">
        <v>115</v>
      </c>
      <c r="G58" s="6">
        <f>C58-B58</f>
        <v>1360</v>
      </c>
      <c r="H58" t="str">
        <f t="shared" si="0"/>
        <v>N/A</v>
      </c>
      <c r="I58" t="str">
        <f>IF(D58&lt;=20%,"LOW DISCOUNT",IF(D58&lt;=40%,"MEDIUM DISCOUNT","HIGH DISCOUNT"))</f>
        <v>HIGH DISCOUNT</v>
      </c>
    </row>
    <row r="59" spans="1:9" x14ac:dyDescent="0.3">
      <c r="A59" t="s">
        <v>101</v>
      </c>
      <c r="B59" s="4">
        <v>1080</v>
      </c>
      <c r="C59" s="4">
        <v>1874</v>
      </c>
      <c r="D59" s="1">
        <v>0.42</v>
      </c>
      <c r="E59">
        <v>0</v>
      </c>
      <c r="F59" t="s">
        <v>115</v>
      </c>
      <c r="G59" s="6">
        <f>C59-B59</f>
        <v>794</v>
      </c>
      <c r="H59" t="str">
        <f t="shared" si="0"/>
        <v>N/A</v>
      </c>
      <c r="I59" t="str">
        <f>IF(D59&lt;=20%,"LOW DISCOUNT",IF(D59&lt;=40%,"MEDIUM DISCOUNT","HIGH DISCOUNT"))</f>
        <v>HIGH DISCOUNT</v>
      </c>
    </row>
    <row r="60" spans="1:9" x14ac:dyDescent="0.3">
      <c r="A60" t="s">
        <v>46</v>
      </c>
      <c r="B60" s="4">
        <v>610</v>
      </c>
      <c r="C60" s="4">
        <v>1060</v>
      </c>
      <c r="D60" s="1">
        <v>0.42</v>
      </c>
      <c r="E60">
        <v>0</v>
      </c>
      <c r="F60" t="s">
        <v>115</v>
      </c>
      <c r="G60" s="6">
        <f>C60-B60</f>
        <v>450</v>
      </c>
      <c r="H60" t="str">
        <f t="shared" si="0"/>
        <v>N/A</v>
      </c>
      <c r="I60" t="str">
        <f>IF(D60&lt;=20%,"LOW DISCOUNT",IF(D60&lt;=40%,"MEDIUM DISCOUNT","HIGH DISCOUNT"))</f>
        <v>HIGH DISCOUNT</v>
      </c>
    </row>
    <row r="61" spans="1:9" x14ac:dyDescent="0.3">
      <c r="A61" t="s">
        <v>41</v>
      </c>
      <c r="B61" s="4">
        <v>389</v>
      </c>
      <c r="C61" s="4">
        <v>656</v>
      </c>
      <c r="D61" s="1">
        <v>0.41</v>
      </c>
      <c r="E61">
        <v>36</v>
      </c>
      <c r="F61">
        <v>4.3</v>
      </c>
      <c r="G61" s="6">
        <f>C61-B61</f>
        <v>267</v>
      </c>
      <c r="H61" t="str">
        <f t="shared" si="0"/>
        <v>average</v>
      </c>
      <c r="I61" t="str">
        <f>IF(D61&lt;=20%,"LOW DISCOUNT",IF(D61&lt;=40%,"MEDIUM DISCOUNT","HIGH DISCOUNT"))</f>
        <v>HIGH DISCOUNT</v>
      </c>
    </row>
    <row r="62" spans="1:9" x14ac:dyDescent="0.3">
      <c r="A62" t="s">
        <v>57</v>
      </c>
      <c r="B62" s="4">
        <v>799</v>
      </c>
      <c r="C62" s="4">
        <v>1343</v>
      </c>
      <c r="D62" s="1">
        <v>0.41</v>
      </c>
      <c r="E62">
        <v>0</v>
      </c>
      <c r="F62" t="s">
        <v>115</v>
      </c>
      <c r="G62" s="6">
        <f>C62-B62</f>
        <v>544</v>
      </c>
      <c r="H62" t="str">
        <f t="shared" si="0"/>
        <v>N/A</v>
      </c>
      <c r="I62" t="str">
        <f>IF(D62&lt;=20%,"LOW DISCOUNT",IF(D62&lt;=40%,"MEDIUM DISCOUNT","HIGH DISCOUNT"))</f>
        <v>HIGH DISCOUNT</v>
      </c>
    </row>
    <row r="63" spans="1:9" x14ac:dyDescent="0.3">
      <c r="A63" t="s">
        <v>103</v>
      </c>
      <c r="B63" s="4">
        <v>1420</v>
      </c>
      <c r="C63" s="4">
        <v>2420</v>
      </c>
      <c r="D63" s="1">
        <v>0.41</v>
      </c>
      <c r="E63">
        <v>0</v>
      </c>
      <c r="F63" t="s">
        <v>115</v>
      </c>
      <c r="G63" s="6">
        <f>C63-B63</f>
        <v>1000</v>
      </c>
      <c r="H63" t="str">
        <f t="shared" si="0"/>
        <v>N/A</v>
      </c>
      <c r="I63" t="str">
        <f>IF(D63&lt;=20%,"LOW DISCOUNT",IF(D63&lt;=40%,"MEDIUM DISCOUNT","HIGH DISCOUNT"))</f>
        <v>HIGH DISCOUNT</v>
      </c>
    </row>
    <row r="64" spans="1:9" x14ac:dyDescent="0.3">
      <c r="A64" t="s">
        <v>39</v>
      </c>
      <c r="B64" s="4">
        <v>1620</v>
      </c>
      <c r="C64" s="4">
        <v>2690</v>
      </c>
      <c r="D64" s="1">
        <v>0.4</v>
      </c>
      <c r="E64">
        <v>1</v>
      </c>
      <c r="F64">
        <v>4.3</v>
      </c>
      <c r="G64" s="6">
        <f>C64-B64</f>
        <v>1070</v>
      </c>
      <c r="H64" t="str">
        <f t="shared" si="0"/>
        <v>average</v>
      </c>
      <c r="I64" t="str">
        <f>IF(D64&lt;=20%,"LOW DISCOUNT",IF(D64&lt;=40%,"MEDIUM DISCOUNT","HIGH DISCOUNT"))</f>
        <v>MEDIUM DISCOUNT</v>
      </c>
    </row>
    <row r="65" spans="1:9" x14ac:dyDescent="0.3">
      <c r="A65" t="s">
        <v>70</v>
      </c>
      <c r="B65" s="4">
        <v>3750</v>
      </c>
      <c r="C65" s="4">
        <v>6143</v>
      </c>
      <c r="D65" s="1">
        <v>0.39</v>
      </c>
      <c r="E65">
        <v>5</v>
      </c>
      <c r="F65">
        <v>3</v>
      </c>
      <c r="G65" s="6">
        <f>C65-B65</f>
        <v>2393</v>
      </c>
      <c r="H65" t="str">
        <f t="shared" si="0"/>
        <v>average</v>
      </c>
      <c r="I65" t="str">
        <f>IF(D65&lt;=20%,"LOW DISCOUNT",IF(D65&lt;=40%,"MEDIUM DISCOUNT","HIGH DISCOUNT"))</f>
        <v>MEDIUM DISCOUNT</v>
      </c>
    </row>
    <row r="66" spans="1:9" x14ac:dyDescent="0.3">
      <c r="A66" t="s">
        <v>5</v>
      </c>
      <c r="B66" s="4">
        <v>950</v>
      </c>
      <c r="C66" s="4">
        <v>1525</v>
      </c>
      <c r="D66" s="1">
        <v>0.38</v>
      </c>
      <c r="E66">
        <v>2</v>
      </c>
      <c r="F66">
        <v>4.5</v>
      </c>
      <c r="G66" s="6">
        <f>C66-B66</f>
        <v>575</v>
      </c>
      <c r="H66" t="str">
        <f t="shared" si="0"/>
        <v>excellent</v>
      </c>
      <c r="I66" t="str">
        <f>IF(D66&lt;=20%,"LOW DISCOUNT",IF(D66&lt;=40%,"MEDIUM DISCOUNT","HIGH DISCOUNT"))</f>
        <v>MEDIUM DISCOUNT</v>
      </c>
    </row>
    <row r="67" spans="1:9" x14ac:dyDescent="0.3">
      <c r="A67" t="s">
        <v>42</v>
      </c>
      <c r="B67" s="4">
        <v>1800</v>
      </c>
      <c r="C67" s="4">
        <v>2700</v>
      </c>
      <c r="D67" s="1">
        <v>0.38</v>
      </c>
      <c r="E67">
        <v>2</v>
      </c>
      <c r="F67">
        <v>4.3</v>
      </c>
      <c r="G67" s="6">
        <f>C67-B67</f>
        <v>900</v>
      </c>
      <c r="H67" t="str">
        <f t="shared" ref="H67:H113" si="1">IF(F67="N/A","N/A",IF(F67&lt;3,"poor", IF(F67&lt;=4.4,"average","excellent")))</f>
        <v>average</v>
      </c>
      <c r="I67" t="str">
        <f>IF(D67&lt;=20%,"LOW DISCOUNT",IF(D67&lt;=40%,"MEDIUM DISCOUNT","HIGH DISCOUNT"))</f>
        <v>MEDIUM DISCOUNT</v>
      </c>
    </row>
    <row r="68" spans="1:9" x14ac:dyDescent="0.3">
      <c r="A68" t="s">
        <v>43</v>
      </c>
      <c r="B68" s="4">
        <v>2750</v>
      </c>
      <c r="C68" s="4">
        <v>4471</v>
      </c>
      <c r="D68" s="1">
        <v>0.38</v>
      </c>
      <c r="E68">
        <v>0</v>
      </c>
      <c r="F68" t="s">
        <v>115</v>
      </c>
      <c r="G68" s="6">
        <f>C68-B68</f>
        <v>1721</v>
      </c>
      <c r="H68" t="str">
        <f t="shared" si="1"/>
        <v>N/A</v>
      </c>
      <c r="I68" t="str">
        <f>IF(D68&lt;=20%,"LOW DISCOUNT",IF(D68&lt;=40%,"MEDIUM DISCOUNT","HIGH DISCOUNT"))</f>
        <v>MEDIUM DISCOUNT</v>
      </c>
    </row>
    <row r="69" spans="1:9" x14ac:dyDescent="0.3">
      <c r="A69" t="s">
        <v>51</v>
      </c>
      <c r="B69" s="4">
        <v>1200</v>
      </c>
      <c r="C69" s="4">
        <v>1950</v>
      </c>
      <c r="D69" s="1">
        <v>0.38</v>
      </c>
      <c r="E69">
        <v>0</v>
      </c>
      <c r="F69" t="s">
        <v>115</v>
      </c>
      <c r="G69" s="6">
        <f>C69-B69</f>
        <v>750</v>
      </c>
      <c r="H69" t="str">
        <f t="shared" si="1"/>
        <v>N/A</v>
      </c>
      <c r="I69" t="str">
        <f>IF(D69&lt;=20%,"LOW DISCOUNT",IF(D69&lt;=40%,"MEDIUM DISCOUNT","HIGH DISCOUNT"))</f>
        <v>MEDIUM DISCOUNT</v>
      </c>
    </row>
    <row r="70" spans="1:9" x14ac:dyDescent="0.3">
      <c r="A70" t="s">
        <v>8</v>
      </c>
      <c r="B70" s="4">
        <v>1580</v>
      </c>
      <c r="C70" s="4">
        <v>2499</v>
      </c>
      <c r="D70" s="1">
        <v>0.37</v>
      </c>
      <c r="E70">
        <v>7</v>
      </c>
      <c r="F70">
        <v>4.7</v>
      </c>
      <c r="G70" s="6">
        <f>C70-B70</f>
        <v>919</v>
      </c>
      <c r="H70" t="str">
        <f t="shared" si="1"/>
        <v>excellent</v>
      </c>
      <c r="I70" t="str">
        <f>IF(D70&lt;=20%,"LOW DISCOUNT",IF(D70&lt;=40%,"MEDIUM DISCOUNT","HIGH DISCOUNT"))</f>
        <v>MEDIUM DISCOUNT</v>
      </c>
    </row>
    <row r="71" spans="1:9" x14ac:dyDescent="0.3">
      <c r="A71" t="s">
        <v>12</v>
      </c>
      <c r="B71" s="4">
        <v>988</v>
      </c>
      <c r="C71" s="4">
        <v>1580</v>
      </c>
      <c r="D71" s="1">
        <v>0.37</v>
      </c>
      <c r="E71">
        <v>2</v>
      </c>
      <c r="F71">
        <v>4</v>
      </c>
      <c r="G71" s="6">
        <f>C71-B71</f>
        <v>592</v>
      </c>
      <c r="H71" t="str">
        <f t="shared" si="1"/>
        <v>average</v>
      </c>
      <c r="I71" t="str">
        <f>IF(D71&lt;=20%,"LOW DISCOUNT",IF(D71&lt;=40%,"MEDIUM DISCOUNT","HIGH DISCOUNT"))</f>
        <v>MEDIUM DISCOUNT</v>
      </c>
    </row>
    <row r="72" spans="1:9" x14ac:dyDescent="0.3">
      <c r="A72" t="s">
        <v>83</v>
      </c>
      <c r="B72" s="4">
        <v>1460</v>
      </c>
      <c r="C72" s="4">
        <v>2290</v>
      </c>
      <c r="D72" s="1">
        <v>0.36</v>
      </c>
      <c r="E72">
        <v>0</v>
      </c>
      <c r="F72" t="s">
        <v>115</v>
      </c>
      <c r="G72" s="6">
        <f>C72-B72</f>
        <v>830</v>
      </c>
      <c r="H72" t="str">
        <f t="shared" si="1"/>
        <v>N/A</v>
      </c>
      <c r="I72" t="str">
        <f>IF(D72&lt;=20%,"LOW DISCOUNT",IF(D72&lt;=40%,"MEDIUM DISCOUNT","HIGH DISCOUNT"))</f>
        <v>MEDIUM DISCOUNT</v>
      </c>
    </row>
    <row r="73" spans="1:9" x14ac:dyDescent="0.3">
      <c r="A73" t="s">
        <v>30</v>
      </c>
      <c r="B73" s="4">
        <v>420</v>
      </c>
      <c r="C73" s="4">
        <v>647</v>
      </c>
      <c r="D73" s="1">
        <v>0.35</v>
      </c>
      <c r="E73">
        <v>49</v>
      </c>
      <c r="F73">
        <v>4.5999999999999996</v>
      </c>
      <c r="G73" s="6">
        <f>C73-B73</f>
        <v>227</v>
      </c>
      <c r="H73" t="str">
        <f t="shared" si="1"/>
        <v>excellent</v>
      </c>
      <c r="I73" t="str">
        <f>IF(D73&lt;=20%,"LOW DISCOUNT",IF(D73&lt;=40%,"MEDIUM DISCOUNT","HIGH DISCOUNT"))</f>
        <v>MEDIUM DISCOUNT</v>
      </c>
    </row>
    <row r="74" spans="1:9" x14ac:dyDescent="0.3">
      <c r="A74" t="s">
        <v>27</v>
      </c>
      <c r="B74" s="4">
        <v>880</v>
      </c>
      <c r="C74" s="4">
        <v>1350</v>
      </c>
      <c r="D74" s="1">
        <v>0.35</v>
      </c>
      <c r="E74">
        <v>6</v>
      </c>
      <c r="F74">
        <v>4</v>
      </c>
      <c r="G74" s="6">
        <f>C74-B74</f>
        <v>470</v>
      </c>
      <c r="H74" t="str">
        <f t="shared" si="1"/>
        <v>average</v>
      </c>
      <c r="I74" t="str">
        <f>IF(D74&lt;=20%,"LOW DISCOUNT",IF(D74&lt;=40%,"MEDIUM DISCOUNT","HIGH DISCOUNT"))</f>
        <v>MEDIUM DISCOUNT</v>
      </c>
    </row>
    <row r="75" spans="1:9" x14ac:dyDescent="0.3">
      <c r="A75" t="s">
        <v>16</v>
      </c>
      <c r="B75" s="4">
        <v>990</v>
      </c>
      <c r="C75" s="4">
        <v>1500</v>
      </c>
      <c r="D75" s="1">
        <v>0.34</v>
      </c>
      <c r="E75">
        <v>39</v>
      </c>
      <c r="F75">
        <v>4.7</v>
      </c>
      <c r="G75" s="6">
        <f>C75-B75</f>
        <v>510</v>
      </c>
      <c r="H75" t="str">
        <f t="shared" si="1"/>
        <v>excellent</v>
      </c>
      <c r="I75" t="str">
        <f>IF(D75&lt;=20%,"LOW DISCOUNT",IF(D75&lt;=40%,"MEDIUM DISCOUNT","HIGH DISCOUNT"))</f>
        <v>MEDIUM DISCOUNT</v>
      </c>
    </row>
    <row r="76" spans="1:9" x14ac:dyDescent="0.3">
      <c r="A76" t="s">
        <v>35</v>
      </c>
      <c r="B76" s="4">
        <v>980</v>
      </c>
      <c r="C76" s="4">
        <v>1490</v>
      </c>
      <c r="D76" s="1">
        <v>0.34</v>
      </c>
      <c r="E76">
        <v>12</v>
      </c>
      <c r="F76">
        <v>4.7</v>
      </c>
      <c r="G76" s="6">
        <f>C76-B76</f>
        <v>510</v>
      </c>
      <c r="H76" t="str">
        <f t="shared" si="1"/>
        <v>excellent</v>
      </c>
      <c r="I76" t="str">
        <f>IF(D76&lt;=20%,"LOW DISCOUNT",IF(D76&lt;=40%,"MEDIUM DISCOUNT","HIGH DISCOUNT"))</f>
        <v>MEDIUM DISCOUNT</v>
      </c>
    </row>
    <row r="77" spans="1:9" x14ac:dyDescent="0.3">
      <c r="A77" t="s">
        <v>106</v>
      </c>
      <c r="B77" s="4">
        <v>1150</v>
      </c>
      <c r="C77" s="4">
        <v>1737</v>
      </c>
      <c r="D77" s="1">
        <v>0.34</v>
      </c>
      <c r="E77">
        <v>0</v>
      </c>
      <c r="F77" t="s">
        <v>115</v>
      </c>
      <c r="G77" s="6">
        <f>C77-B77</f>
        <v>587</v>
      </c>
      <c r="H77" t="str">
        <f t="shared" si="1"/>
        <v>N/A</v>
      </c>
      <c r="I77" t="str">
        <f>IF(D77&lt;=20%,"LOW DISCOUNT",IF(D77&lt;=40%,"MEDIUM DISCOUNT","HIGH DISCOUNT"))</f>
        <v>MEDIUM DISCOUNT</v>
      </c>
    </row>
    <row r="78" spans="1:9" x14ac:dyDescent="0.3">
      <c r="A78" t="s">
        <v>107</v>
      </c>
      <c r="B78" s="4">
        <v>1190</v>
      </c>
      <c r="C78" s="4">
        <v>1810</v>
      </c>
      <c r="D78" s="1">
        <v>0.34</v>
      </c>
      <c r="E78">
        <v>0</v>
      </c>
      <c r="F78" t="s">
        <v>115</v>
      </c>
      <c r="G78" s="6">
        <f>C78-B78</f>
        <v>620</v>
      </c>
      <c r="H78" t="str">
        <f t="shared" si="1"/>
        <v>N/A</v>
      </c>
      <c r="I78" t="str">
        <f>IF(D78&lt;=20%,"LOW DISCOUNT",IF(D78&lt;=40%,"MEDIUM DISCOUNT","HIGH DISCOUNT"))</f>
        <v>MEDIUM DISCOUNT</v>
      </c>
    </row>
    <row r="79" spans="1:9" x14ac:dyDescent="0.3">
      <c r="A79" t="s">
        <v>19</v>
      </c>
      <c r="B79" s="4">
        <v>1680</v>
      </c>
      <c r="C79" s="4">
        <v>2499</v>
      </c>
      <c r="D79" s="1">
        <v>0.33</v>
      </c>
      <c r="E79">
        <v>9</v>
      </c>
      <c r="F79">
        <v>4.2</v>
      </c>
      <c r="G79" s="6">
        <f>C79-B79</f>
        <v>819</v>
      </c>
      <c r="H79" t="str">
        <f t="shared" si="1"/>
        <v>average</v>
      </c>
      <c r="I79" t="str">
        <f>IF(D79&lt;=20%,"LOW DISCOUNT",IF(D79&lt;=40%,"MEDIUM DISCOUNT","HIGH DISCOUNT"))</f>
        <v>MEDIUM DISCOUNT</v>
      </c>
    </row>
    <row r="80" spans="1:9" x14ac:dyDescent="0.3">
      <c r="A80" t="s">
        <v>49</v>
      </c>
      <c r="B80" s="4">
        <v>1190</v>
      </c>
      <c r="C80" s="4">
        <v>1785</v>
      </c>
      <c r="D80" s="1">
        <v>0.33</v>
      </c>
      <c r="E80">
        <v>0</v>
      </c>
      <c r="F80" t="s">
        <v>115</v>
      </c>
      <c r="G80" s="6">
        <f>C80-B80</f>
        <v>595</v>
      </c>
      <c r="H80" t="str">
        <f t="shared" si="1"/>
        <v>N/A</v>
      </c>
      <c r="I80" t="str">
        <f>IF(D80&lt;=20%,"LOW DISCOUNT",IF(D80&lt;=40%,"MEDIUM DISCOUNT","HIGH DISCOUNT"))</f>
        <v>MEDIUM DISCOUNT</v>
      </c>
    </row>
    <row r="81" spans="1:9" x14ac:dyDescent="0.3">
      <c r="A81" t="s">
        <v>32</v>
      </c>
      <c r="B81" s="4">
        <v>1350</v>
      </c>
      <c r="C81" s="4">
        <v>1990</v>
      </c>
      <c r="D81" s="1">
        <v>0.32</v>
      </c>
      <c r="E81">
        <v>13</v>
      </c>
      <c r="F81">
        <v>3.8</v>
      </c>
      <c r="G81" s="6">
        <f>C81-B81</f>
        <v>640</v>
      </c>
      <c r="H81" t="str">
        <f t="shared" si="1"/>
        <v>average</v>
      </c>
      <c r="I81" t="str">
        <f>IF(D81&lt;=20%,"LOW DISCOUNT",IF(D81&lt;=40%,"MEDIUM DISCOUNT","HIGH DISCOUNT"))</f>
        <v>MEDIUM DISCOUNT</v>
      </c>
    </row>
    <row r="82" spans="1:9" x14ac:dyDescent="0.3">
      <c r="A82" t="s">
        <v>33</v>
      </c>
      <c r="B82" s="4">
        <v>1758</v>
      </c>
      <c r="C82" s="4">
        <v>2499</v>
      </c>
      <c r="D82" s="1">
        <v>0.3</v>
      </c>
      <c r="E82">
        <v>20</v>
      </c>
      <c r="F82">
        <v>4.0999999999999996</v>
      </c>
      <c r="G82" s="6">
        <f>C82-B82</f>
        <v>741</v>
      </c>
      <c r="H82" t="str">
        <f t="shared" si="1"/>
        <v>average</v>
      </c>
      <c r="I82" t="str">
        <f>IF(D82&lt;=20%,"LOW DISCOUNT",IF(D82&lt;=40%,"MEDIUM DISCOUNT","HIGH DISCOUNT"))</f>
        <v>MEDIUM DISCOUNT</v>
      </c>
    </row>
    <row r="83" spans="1:9" x14ac:dyDescent="0.3">
      <c r="A83" t="s">
        <v>72</v>
      </c>
      <c r="B83" s="4">
        <v>2300</v>
      </c>
      <c r="C83" s="4">
        <v>3240</v>
      </c>
      <c r="D83" s="1">
        <v>0.28999999999999998</v>
      </c>
      <c r="E83">
        <v>5</v>
      </c>
      <c r="F83">
        <v>3</v>
      </c>
      <c r="G83" s="6">
        <f>C83-B83</f>
        <v>940</v>
      </c>
      <c r="H83" t="str">
        <f t="shared" si="1"/>
        <v>average</v>
      </c>
      <c r="I83" t="str">
        <f>IF(D83&lt;=20%,"LOW DISCOUNT",IF(D83&lt;=40%,"MEDIUM DISCOUNT","HIGH DISCOUNT"))</f>
        <v>MEDIUM DISCOUNT</v>
      </c>
    </row>
    <row r="84" spans="1:9" x14ac:dyDescent="0.3">
      <c r="A84" t="s">
        <v>38</v>
      </c>
      <c r="B84" s="4">
        <v>1980</v>
      </c>
      <c r="C84" s="4">
        <v>2699</v>
      </c>
      <c r="D84" s="1">
        <v>0.27</v>
      </c>
      <c r="E84">
        <v>32</v>
      </c>
      <c r="F84">
        <v>4.3</v>
      </c>
      <c r="G84" s="6">
        <f>C84-B84</f>
        <v>719</v>
      </c>
      <c r="H84" t="str">
        <f t="shared" si="1"/>
        <v>average</v>
      </c>
      <c r="I84" t="str">
        <f>IF(D84&lt;=20%,"LOW DISCOUNT",IF(D84&lt;=40%,"MEDIUM DISCOUNT","HIGH DISCOUNT"))</f>
        <v>MEDIUM DISCOUNT</v>
      </c>
    </row>
    <row r="85" spans="1:9" x14ac:dyDescent="0.3">
      <c r="A85" t="s">
        <v>37</v>
      </c>
      <c r="B85" s="4">
        <v>1940</v>
      </c>
      <c r="C85" s="4">
        <v>2650</v>
      </c>
      <c r="D85" s="1">
        <v>0.27</v>
      </c>
      <c r="E85">
        <v>20</v>
      </c>
      <c r="F85">
        <v>4.3</v>
      </c>
      <c r="G85" s="6">
        <f>C85-B85</f>
        <v>710</v>
      </c>
      <c r="H85" t="str">
        <f t="shared" si="1"/>
        <v>average</v>
      </c>
      <c r="I85" t="str">
        <f>IF(D85&lt;=20%,"LOW DISCOUNT",IF(D85&lt;=40%,"MEDIUM DISCOUNT","HIGH DISCOUNT"))</f>
        <v>MEDIUM DISCOUNT</v>
      </c>
    </row>
    <row r="86" spans="1:9" x14ac:dyDescent="0.3">
      <c r="A86" t="s">
        <v>61</v>
      </c>
      <c r="B86" s="4">
        <v>2799</v>
      </c>
      <c r="C86" s="4">
        <v>3810</v>
      </c>
      <c r="D86" s="1">
        <v>0.27</v>
      </c>
      <c r="E86">
        <v>0</v>
      </c>
      <c r="F86" t="s">
        <v>115</v>
      </c>
      <c r="G86" s="6">
        <f>C86-B86</f>
        <v>1011</v>
      </c>
      <c r="H86" t="str">
        <f t="shared" si="1"/>
        <v>N/A</v>
      </c>
      <c r="I86" t="str">
        <f>IF(D86&lt;=20%,"LOW DISCOUNT",IF(D86&lt;=40%,"MEDIUM DISCOUNT","HIGH DISCOUNT"))</f>
        <v>MEDIUM DISCOUNT</v>
      </c>
    </row>
    <row r="87" spans="1:9" x14ac:dyDescent="0.3">
      <c r="A87" t="s">
        <v>9</v>
      </c>
      <c r="B87" s="4">
        <v>1740</v>
      </c>
      <c r="C87" s="4">
        <v>2356</v>
      </c>
      <c r="D87" s="1">
        <v>0.26</v>
      </c>
      <c r="E87">
        <v>5</v>
      </c>
      <c r="F87">
        <v>4.8</v>
      </c>
      <c r="G87" s="6">
        <f>C87-B87</f>
        <v>616</v>
      </c>
      <c r="H87" t="str">
        <f t="shared" si="1"/>
        <v>excellent</v>
      </c>
      <c r="I87" t="str">
        <f>IF(D87&lt;=20%,"LOW DISCOUNT",IF(D87&lt;=40%,"MEDIUM DISCOUNT","HIGH DISCOUNT"))</f>
        <v>MEDIUM DISCOUNT</v>
      </c>
    </row>
    <row r="88" spans="1:9" x14ac:dyDescent="0.3">
      <c r="A88" t="s">
        <v>7</v>
      </c>
      <c r="B88" s="4">
        <v>2199</v>
      </c>
      <c r="C88" s="4">
        <v>2923</v>
      </c>
      <c r="D88" s="1">
        <v>0.25</v>
      </c>
      <c r="E88">
        <v>24</v>
      </c>
      <c r="F88">
        <v>4.5999999999999996</v>
      </c>
      <c r="G88" s="6">
        <f>C88-B88</f>
        <v>724</v>
      </c>
      <c r="H88" t="str">
        <f t="shared" si="1"/>
        <v>excellent</v>
      </c>
      <c r="I88" t="str">
        <f>IF(D88&lt;=20%,"LOW DISCOUNT",IF(D88&lt;=40%,"MEDIUM DISCOUNT","HIGH DISCOUNT"))</f>
        <v>MEDIUM DISCOUNT</v>
      </c>
    </row>
    <row r="89" spans="1:9" x14ac:dyDescent="0.3">
      <c r="A89" t="s">
        <v>11</v>
      </c>
      <c r="B89" s="4">
        <v>2319</v>
      </c>
      <c r="C89" s="4">
        <v>3032</v>
      </c>
      <c r="D89" s="1">
        <v>0.24</v>
      </c>
      <c r="E89">
        <v>55</v>
      </c>
      <c r="F89">
        <v>4.5999999999999996</v>
      </c>
      <c r="G89" s="6">
        <f>C89-B89</f>
        <v>713</v>
      </c>
      <c r="H89" t="str">
        <f t="shared" si="1"/>
        <v>excellent</v>
      </c>
      <c r="I89" t="str">
        <f>IF(D89&lt;=20%,"LOW DISCOUNT",IF(D89&lt;=40%,"MEDIUM DISCOUNT","HIGH DISCOUNT"))</f>
        <v>MEDIUM DISCOUNT</v>
      </c>
    </row>
    <row r="90" spans="1:9" x14ac:dyDescent="0.3">
      <c r="A90" t="s">
        <v>105</v>
      </c>
      <c r="B90" s="4">
        <v>198</v>
      </c>
      <c r="C90" s="4">
        <v>260</v>
      </c>
      <c r="D90" s="1">
        <v>0.24</v>
      </c>
      <c r="E90">
        <v>0</v>
      </c>
      <c r="F90" t="s">
        <v>115</v>
      </c>
      <c r="G90" s="6">
        <f>C90-B90</f>
        <v>62</v>
      </c>
      <c r="H90" t="str">
        <f t="shared" si="1"/>
        <v>N/A</v>
      </c>
      <c r="I90" t="str">
        <f>IF(D90&lt;=20%,"LOW DISCOUNT",IF(D90&lt;=40%,"MEDIUM DISCOUNT","HIGH DISCOUNT"))</f>
        <v>MEDIUM DISCOUNT</v>
      </c>
    </row>
    <row r="91" spans="1:9" x14ac:dyDescent="0.3">
      <c r="A91" t="s">
        <v>28</v>
      </c>
      <c r="B91" s="4">
        <v>1650</v>
      </c>
      <c r="C91" s="4">
        <v>2150</v>
      </c>
      <c r="D91" s="1">
        <v>0.23</v>
      </c>
      <c r="E91">
        <v>14</v>
      </c>
      <c r="F91">
        <v>4.4000000000000004</v>
      </c>
      <c r="G91" s="6">
        <f>C91-B91</f>
        <v>500</v>
      </c>
      <c r="H91" t="str">
        <f t="shared" si="1"/>
        <v>average</v>
      </c>
      <c r="I91" t="str">
        <f>IF(D91&lt;=20%,"LOW DISCOUNT",IF(D91&lt;=40%,"MEDIUM DISCOUNT","HIGH DISCOUNT"))</f>
        <v>MEDIUM DISCOUNT</v>
      </c>
    </row>
    <row r="92" spans="1:9" x14ac:dyDescent="0.3">
      <c r="A92" t="s">
        <v>67</v>
      </c>
      <c r="B92" s="4">
        <v>1220</v>
      </c>
      <c r="C92" s="4">
        <v>1555</v>
      </c>
      <c r="D92" s="1">
        <v>0.22</v>
      </c>
      <c r="E92">
        <v>16</v>
      </c>
      <c r="F92">
        <v>2.9</v>
      </c>
      <c r="G92" s="6">
        <f>C92-B92</f>
        <v>335</v>
      </c>
      <c r="H92" t="str">
        <f t="shared" si="1"/>
        <v>poor</v>
      </c>
      <c r="I92" t="str">
        <f>IF(D92&lt;=20%,"LOW DISCOUNT",IF(D92&lt;=40%,"MEDIUM DISCOUNT","HIGH DISCOUNT"))</f>
        <v>MEDIUM DISCOUNT</v>
      </c>
    </row>
    <row r="93" spans="1:9" x14ac:dyDescent="0.3">
      <c r="A93" t="s">
        <v>55</v>
      </c>
      <c r="B93" s="4">
        <v>299</v>
      </c>
      <c r="C93" s="4">
        <v>384</v>
      </c>
      <c r="D93" s="1">
        <v>0.22</v>
      </c>
      <c r="E93">
        <v>0</v>
      </c>
      <c r="F93" t="s">
        <v>115</v>
      </c>
      <c r="G93" s="6">
        <f>C93-B93</f>
        <v>85</v>
      </c>
      <c r="H93" t="str">
        <f t="shared" si="1"/>
        <v>N/A</v>
      </c>
      <c r="I93" t="str">
        <f>IF(D93&lt;=20%,"LOW DISCOUNT",IF(D93&lt;=40%,"MEDIUM DISCOUNT","HIGH DISCOUNT"))</f>
        <v>MEDIUM DISCOUNT</v>
      </c>
    </row>
    <row r="94" spans="1:9" x14ac:dyDescent="0.3">
      <c r="A94" t="s">
        <v>102</v>
      </c>
      <c r="B94" s="4">
        <v>3640</v>
      </c>
      <c r="C94" s="4">
        <v>4588</v>
      </c>
      <c r="D94" s="1">
        <v>0.21</v>
      </c>
      <c r="E94">
        <v>1</v>
      </c>
      <c r="F94">
        <v>5</v>
      </c>
      <c r="G94" s="6">
        <f>C94-B94</f>
        <v>948</v>
      </c>
      <c r="H94" t="str">
        <f t="shared" si="1"/>
        <v>excellent</v>
      </c>
      <c r="I94" t="str">
        <f>IF(D94&lt;=20%,"LOW DISCOUNT",IF(D94&lt;=40%,"MEDIUM DISCOUNT","HIGH DISCOUNT"))</f>
        <v>MEDIUM DISCOUNT</v>
      </c>
    </row>
    <row r="95" spans="1:9" x14ac:dyDescent="0.3">
      <c r="A95" t="s">
        <v>15</v>
      </c>
      <c r="B95" s="4">
        <v>799</v>
      </c>
      <c r="C95" s="4">
        <v>999</v>
      </c>
      <c r="D95" s="1">
        <v>0.2</v>
      </c>
      <c r="E95">
        <v>12</v>
      </c>
      <c r="F95">
        <v>4.0999999999999996</v>
      </c>
      <c r="G95" s="6">
        <f>C95-B95</f>
        <v>200</v>
      </c>
      <c r="H95" t="str">
        <f t="shared" si="1"/>
        <v>average</v>
      </c>
      <c r="I95" t="str">
        <f>IF(D95&lt;=20%,"LOW DISCOUNT",IF(D95&lt;=40%,"MEDIUM DISCOUNT","HIGH DISCOUNT"))</f>
        <v>LOW DISCOUNT</v>
      </c>
    </row>
    <row r="96" spans="1:9" x14ac:dyDescent="0.3">
      <c r="A96" t="s">
        <v>23</v>
      </c>
      <c r="B96" s="4">
        <v>2999</v>
      </c>
      <c r="C96" s="4">
        <v>3699</v>
      </c>
      <c r="D96" s="1">
        <v>0.19</v>
      </c>
      <c r="E96">
        <v>5</v>
      </c>
      <c r="F96">
        <v>4.5999999999999996</v>
      </c>
      <c r="G96" s="6">
        <f>C96-B96</f>
        <v>700</v>
      </c>
      <c r="H96" t="str">
        <f t="shared" si="1"/>
        <v>excellent</v>
      </c>
      <c r="I96" t="str">
        <f>IF(D96&lt;=20%,"LOW DISCOUNT",IF(D96&lt;=40%,"MEDIUM DISCOUNT","HIGH DISCOUNT"))</f>
        <v>LOW DISCOUNT</v>
      </c>
    </row>
    <row r="97" spans="1:9" x14ac:dyDescent="0.3">
      <c r="A97" t="s">
        <v>31</v>
      </c>
      <c r="B97" s="4">
        <v>2880</v>
      </c>
      <c r="C97" s="4">
        <v>3520</v>
      </c>
      <c r="D97" s="1">
        <v>0.18</v>
      </c>
      <c r="E97">
        <v>12</v>
      </c>
      <c r="F97">
        <v>3.8</v>
      </c>
      <c r="G97" s="6">
        <f>C97-B97</f>
        <v>640</v>
      </c>
      <c r="H97" t="str">
        <f t="shared" si="1"/>
        <v>average</v>
      </c>
      <c r="I97" t="str">
        <f>IF(D97&lt;=20%,"LOW DISCOUNT",IF(D97&lt;=40%,"MEDIUM DISCOUNT","HIGH DISCOUNT"))</f>
        <v>LOW DISCOUNT</v>
      </c>
    </row>
    <row r="98" spans="1:9" x14ac:dyDescent="0.3">
      <c r="A98" t="s">
        <v>86</v>
      </c>
      <c r="B98" s="4">
        <v>1466</v>
      </c>
      <c r="C98" s="4">
        <v>1699</v>
      </c>
      <c r="D98" s="1">
        <v>0.14000000000000001</v>
      </c>
      <c r="E98">
        <v>0</v>
      </c>
      <c r="F98" t="s">
        <v>115</v>
      </c>
      <c r="G98" s="6">
        <f>C98-B98</f>
        <v>233</v>
      </c>
      <c r="H98" t="str">
        <f t="shared" si="1"/>
        <v>N/A</v>
      </c>
      <c r="I98" t="str">
        <f>IF(D98&lt;=20%,"LOW DISCOUNT",IF(D98&lt;=40%,"MEDIUM DISCOUNT","HIGH DISCOUNT"))</f>
        <v>LOW DISCOUNT</v>
      </c>
    </row>
    <row r="99" spans="1:9" x14ac:dyDescent="0.3">
      <c r="A99" t="s">
        <v>89</v>
      </c>
      <c r="B99" s="4">
        <v>1468</v>
      </c>
      <c r="C99" s="4">
        <v>1699</v>
      </c>
      <c r="D99" s="1">
        <v>0.14000000000000001</v>
      </c>
      <c r="E99">
        <v>0</v>
      </c>
      <c r="F99" t="s">
        <v>115</v>
      </c>
      <c r="G99" s="6">
        <f>C99-B99</f>
        <v>231</v>
      </c>
      <c r="H99" t="str">
        <f t="shared" si="1"/>
        <v>N/A</v>
      </c>
      <c r="I99" t="str">
        <f>IF(D99&lt;=20%,"LOW DISCOUNT",IF(D99&lt;=40%,"MEDIUM DISCOUNT","HIGH DISCOUNT"))</f>
        <v>LOW DISCOUNT</v>
      </c>
    </row>
    <row r="100" spans="1:9" x14ac:dyDescent="0.3">
      <c r="A100" t="s">
        <v>62</v>
      </c>
      <c r="B100" s="4">
        <v>2170</v>
      </c>
      <c r="C100" s="4">
        <v>2500</v>
      </c>
      <c r="D100" s="1">
        <v>0.13</v>
      </c>
      <c r="E100">
        <v>6</v>
      </c>
      <c r="F100">
        <v>2.5</v>
      </c>
      <c r="G100" s="6">
        <f>C100-B100</f>
        <v>330</v>
      </c>
      <c r="H100" t="str">
        <f t="shared" si="1"/>
        <v>poor</v>
      </c>
      <c r="I100" t="str">
        <f>IF(D100&lt;=20%,"LOW DISCOUNT",IF(D100&lt;=40%,"MEDIUM DISCOUNT","HIGH DISCOUNT"))</f>
        <v>LOW DISCOUNT</v>
      </c>
    </row>
    <row r="101" spans="1:9" x14ac:dyDescent="0.3">
      <c r="A101" t="s">
        <v>88</v>
      </c>
      <c r="B101" s="4">
        <v>799</v>
      </c>
      <c r="C101" s="4">
        <v>900</v>
      </c>
      <c r="D101" s="1">
        <v>0.11</v>
      </c>
      <c r="E101">
        <v>0</v>
      </c>
      <c r="F101" t="s">
        <v>115</v>
      </c>
      <c r="G101" s="6">
        <f>C101-B101</f>
        <v>101</v>
      </c>
      <c r="H101" t="str">
        <f t="shared" si="1"/>
        <v>N/A</v>
      </c>
      <c r="I101" t="str">
        <f>IF(D101&lt;=20%,"LOW DISCOUNT",IF(D101&lt;=40%,"MEDIUM DISCOUNT","HIGH DISCOUNT"))</f>
        <v>LOW DISCOUNT</v>
      </c>
    </row>
    <row r="102" spans="1:9" x14ac:dyDescent="0.3">
      <c r="A102" t="s">
        <v>10</v>
      </c>
      <c r="B102" s="4">
        <v>2999</v>
      </c>
      <c r="C102" s="4">
        <v>3290</v>
      </c>
      <c r="D102" s="1">
        <v>0.09</v>
      </c>
      <c r="E102">
        <v>15</v>
      </c>
      <c r="F102">
        <v>4</v>
      </c>
      <c r="G102" s="6">
        <f>C102-B102</f>
        <v>291</v>
      </c>
      <c r="H102" t="str">
        <f t="shared" si="1"/>
        <v>average</v>
      </c>
      <c r="I102" t="str">
        <f>IF(D102&lt;=20%,"LOW DISCOUNT",IF(D102&lt;=40%,"MEDIUM DISCOUNT","HIGH DISCOUNT"))</f>
        <v>LOW DISCOUNT</v>
      </c>
    </row>
    <row r="103" spans="1:9" x14ac:dyDescent="0.3">
      <c r="A103" t="s">
        <v>96</v>
      </c>
      <c r="B103" s="4">
        <v>1526</v>
      </c>
      <c r="C103" s="4">
        <v>1660</v>
      </c>
      <c r="D103" s="1">
        <v>0.08</v>
      </c>
      <c r="E103">
        <v>0</v>
      </c>
      <c r="F103" t="s">
        <v>115</v>
      </c>
      <c r="G103" s="6">
        <f>C103-B103</f>
        <v>134</v>
      </c>
      <c r="H103" t="str">
        <f t="shared" si="1"/>
        <v>N/A</v>
      </c>
      <c r="I103" t="str">
        <f>IF(D103&lt;=20%,"LOW DISCOUNT",IF(D103&lt;=40%,"MEDIUM DISCOUNT","HIGH DISCOUNT"))</f>
        <v>LOW DISCOUNT</v>
      </c>
    </row>
    <row r="104" spans="1:9" x14ac:dyDescent="0.3">
      <c r="A104" t="s">
        <v>79</v>
      </c>
      <c r="B104" s="4">
        <v>1732</v>
      </c>
      <c r="C104" s="4">
        <v>1799</v>
      </c>
      <c r="D104" s="1">
        <v>0.04</v>
      </c>
      <c r="E104">
        <v>0</v>
      </c>
      <c r="F104" t="s">
        <v>115</v>
      </c>
      <c r="G104" s="6">
        <f>C104-B104</f>
        <v>67</v>
      </c>
      <c r="H104" t="str">
        <f t="shared" si="1"/>
        <v>N/A</v>
      </c>
      <c r="I104" t="str">
        <f>IF(D104&lt;=20%,"LOW DISCOUNT",IF(D104&lt;=40%,"MEDIUM DISCOUNT","HIGH DISCOUNT"))</f>
        <v>LOW DISCOUNT</v>
      </c>
    </row>
    <row r="105" spans="1:9" x14ac:dyDescent="0.3">
      <c r="A105" t="s">
        <v>99</v>
      </c>
      <c r="B105" s="4">
        <v>3546</v>
      </c>
      <c r="C105" s="4">
        <v>3699</v>
      </c>
      <c r="D105" s="1">
        <v>0.04</v>
      </c>
      <c r="E105">
        <v>0</v>
      </c>
      <c r="F105" t="s">
        <v>115</v>
      </c>
      <c r="G105" s="6">
        <f>C105-B105</f>
        <v>153</v>
      </c>
      <c r="H105" t="str">
        <f t="shared" si="1"/>
        <v>N/A</v>
      </c>
      <c r="I105" t="str">
        <f>IF(D105&lt;=20%,"LOW DISCOUNT",IF(D105&lt;=40%,"MEDIUM DISCOUNT","HIGH DISCOUNT"))</f>
        <v>LOW DISCOUNT</v>
      </c>
    </row>
    <row r="106" spans="1:9" x14ac:dyDescent="0.3">
      <c r="A106" t="s">
        <v>56</v>
      </c>
      <c r="B106" s="4">
        <v>1459</v>
      </c>
      <c r="C106" s="4">
        <v>1499</v>
      </c>
      <c r="D106" s="1">
        <v>0.03</v>
      </c>
      <c r="E106">
        <v>0</v>
      </c>
      <c r="F106" t="s">
        <v>115</v>
      </c>
      <c r="G106" s="6">
        <f>C106-B106</f>
        <v>40</v>
      </c>
      <c r="H106" t="str">
        <f t="shared" si="1"/>
        <v>N/A</v>
      </c>
      <c r="I106" t="str">
        <f>IF(D106&lt;=20%,"LOW DISCOUNT",IF(D106&lt;=40%,"MEDIUM DISCOUNT","HIGH DISCOUNT"))</f>
        <v>LOW DISCOUNT</v>
      </c>
    </row>
    <row r="107" spans="1:9" x14ac:dyDescent="0.3">
      <c r="A107" t="s">
        <v>47</v>
      </c>
      <c r="B107" s="4">
        <v>2132</v>
      </c>
      <c r="C107" s="4">
        <v>2169</v>
      </c>
      <c r="D107" s="1">
        <v>0.02</v>
      </c>
      <c r="E107">
        <v>0</v>
      </c>
      <c r="F107" t="s">
        <v>115</v>
      </c>
      <c r="G107" s="6">
        <f>C107-B107</f>
        <v>37</v>
      </c>
      <c r="H107" t="str">
        <f t="shared" si="1"/>
        <v>N/A</v>
      </c>
      <c r="I107" t="str">
        <f>IF(D107&lt;=20%,"LOW DISCOUNT",IF(D107&lt;=40%,"MEDIUM DISCOUNT","HIGH DISCOUNT"))</f>
        <v>LOW DISCOUNT</v>
      </c>
    </row>
    <row r="108" spans="1:9" x14ac:dyDescent="0.3">
      <c r="A108" t="s">
        <v>54</v>
      </c>
      <c r="B108" s="4">
        <v>1660</v>
      </c>
      <c r="C108" s="4">
        <v>1699</v>
      </c>
      <c r="D108" s="1">
        <v>0.02</v>
      </c>
      <c r="E108">
        <v>0</v>
      </c>
      <c r="F108" t="s">
        <v>115</v>
      </c>
      <c r="G108" s="6">
        <f>C108-B108</f>
        <v>39</v>
      </c>
      <c r="H108" t="str">
        <f t="shared" si="1"/>
        <v>N/A</v>
      </c>
      <c r="I108" t="str">
        <f>IF(D108&lt;=20%,"LOW DISCOUNT",IF(D108&lt;=40%,"MEDIUM DISCOUNT","HIGH DISCOUNT"))</f>
        <v>LOW DISCOUNT</v>
      </c>
    </row>
    <row r="109" spans="1:9" x14ac:dyDescent="0.3">
      <c r="A109" t="s">
        <v>84</v>
      </c>
      <c r="B109" s="4">
        <v>1666</v>
      </c>
      <c r="C109" s="4">
        <v>1699</v>
      </c>
      <c r="D109" s="1">
        <v>0.02</v>
      </c>
      <c r="E109">
        <v>0</v>
      </c>
      <c r="F109" t="s">
        <v>115</v>
      </c>
      <c r="G109" s="6">
        <f>C109-B109</f>
        <v>33</v>
      </c>
      <c r="H109" t="str">
        <f t="shared" si="1"/>
        <v>N/A</v>
      </c>
      <c r="I109" t="str">
        <f>IF(D109&lt;=20%,"LOW DISCOUNT",IF(D109&lt;=40%,"MEDIUM DISCOUNT","HIGH DISCOUNT"))</f>
        <v>LOW DISCOUNT</v>
      </c>
    </row>
    <row r="110" spans="1:9" x14ac:dyDescent="0.3">
      <c r="A110" t="s">
        <v>97</v>
      </c>
      <c r="B110" s="4">
        <v>1462</v>
      </c>
      <c r="C110" s="4">
        <v>1499</v>
      </c>
      <c r="D110" s="1">
        <v>0.02</v>
      </c>
      <c r="E110">
        <v>0</v>
      </c>
      <c r="F110" t="s">
        <v>115</v>
      </c>
      <c r="G110" s="6">
        <f>C110-B110</f>
        <v>37</v>
      </c>
      <c r="H110" t="str">
        <f t="shared" si="1"/>
        <v>N/A</v>
      </c>
      <c r="I110" t="str">
        <f>IF(D110&lt;=20%,"LOW DISCOUNT",IF(D110&lt;=40%,"MEDIUM DISCOUNT","HIGH DISCOUNT"))</f>
        <v>LOW DISCOUNT</v>
      </c>
    </row>
    <row r="111" spans="1:9" x14ac:dyDescent="0.3">
      <c r="A111" t="s">
        <v>108</v>
      </c>
      <c r="B111" s="4">
        <v>1658</v>
      </c>
      <c r="C111" s="4">
        <v>1699</v>
      </c>
      <c r="D111" s="1">
        <v>0.02</v>
      </c>
      <c r="E111">
        <v>0</v>
      </c>
      <c r="F111" t="s">
        <v>115</v>
      </c>
      <c r="G111" s="6">
        <f>C111-B111</f>
        <v>41</v>
      </c>
      <c r="H111" t="str">
        <f t="shared" si="1"/>
        <v>N/A</v>
      </c>
      <c r="I111" t="str">
        <f>IF(D111&lt;=20%,"LOW DISCOUNT",IF(D111&lt;=40%,"MEDIUM DISCOUNT","HIGH DISCOUNT"))</f>
        <v>LOW DISCOUNT</v>
      </c>
    </row>
    <row r="112" spans="1:9" x14ac:dyDescent="0.3">
      <c r="A112" t="s">
        <v>109</v>
      </c>
      <c r="B112" s="4">
        <v>1768</v>
      </c>
      <c r="C112" s="4">
        <v>1799</v>
      </c>
      <c r="D112" s="1">
        <v>0.02</v>
      </c>
      <c r="E112">
        <v>0</v>
      </c>
      <c r="F112" t="s">
        <v>115</v>
      </c>
      <c r="G112" s="6">
        <f>C112-B112</f>
        <v>31</v>
      </c>
      <c r="H112" t="str">
        <f t="shared" si="1"/>
        <v>N/A</v>
      </c>
      <c r="I112" t="str">
        <f>IF(D112&lt;=20%,"LOW DISCOUNT",IF(D112&lt;=40%,"MEDIUM DISCOUNT","HIGH DISCOUNT"))</f>
        <v>LOW DISCOUNT</v>
      </c>
    </row>
    <row r="113" spans="1:9" x14ac:dyDescent="0.3">
      <c r="A113" t="s">
        <v>104</v>
      </c>
      <c r="B113" s="4">
        <v>1875</v>
      </c>
      <c r="C113" s="4">
        <v>1899</v>
      </c>
      <c r="D113" s="1">
        <v>0.01</v>
      </c>
      <c r="E113">
        <v>0</v>
      </c>
      <c r="F113" t="s">
        <v>115</v>
      </c>
      <c r="G113" s="6">
        <f>C113-B113</f>
        <v>24</v>
      </c>
      <c r="H113" t="str">
        <f t="shared" si="1"/>
        <v>N/A</v>
      </c>
      <c r="I113" t="str">
        <f>IF(D113&lt;=20%,"LOW DISCOUNT",IF(D113&lt;=40%,"MEDIUM DISCOUNT","HIGH DISCOUNT"))</f>
        <v>LOW DISCOUNT</v>
      </c>
    </row>
  </sheetData>
  <sortState xmlns:xlrd2="http://schemas.microsoft.com/office/spreadsheetml/2017/richdata2" ref="A2:I113">
    <sortCondition descending="1" ref="D1:D113"/>
  </sortState>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626E6-D24F-455F-8A1F-DD19C6C7E745}">
  <dimension ref="T8"/>
  <sheetViews>
    <sheetView topLeftCell="G10" workbookViewId="0">
      <selection activeCell="T47" sqref="T47"/>
    </sheetView>
  </sheetViews>
  <sheetFormatPr defaultRowHeight="14.4" x14ac:dyDescent="0.3"/>
  <cols>
    <col min="1" max="16384" width="8.88671875" style="14"/>
  </cols>
  <sheetData>
    <row r="8" spans="20:20" x14ac:dyDescent="0.3">
      <c r="T8" s="14" t="s">
        <v>146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%discount and reviews</vt:lpstr>
      <vt:lpstr>rating and reviews</vt:lpstr>
      <vt:lpstr>top 10 highest discount</vt:lpstr>
      <vt:lpstr>top 10 most review</vt:lpstr>
      <vt:lpstr>high and low rated products</vt:lpstr>
      <vt:lpstr>comparisson average rating </vt:lpstr>
      <vt:lpstr>top 5 by % diccount</vt:lpstr>
      <vt:lpstr>top 5 by rating</vt:lpstr>
      <vt:lpstr>top product by reviews</vt:lpstr>
      <vt:lpstr>Breakdown of product by rating </vt:lpstr>
      <vt:lpstr>Sheet14</vt:lpstr>
      <vt:lpstr>Excel_jumia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Mary Nyambura</cp:lastModifiedBy>
  <dcterms:created xsi:type="dcterms:W3CDTF">2026-01-26T08:33:37Z</dcterms:created>
  <dcterms:modified xsi:type="dcterms:W3CDTF">2026-02-01T15:15:20Z</dcterms:modified>
</cp:coreProperties>
</file>